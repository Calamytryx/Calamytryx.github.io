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" state="visible" r:id="rId5"/>
    <sheet sheetId="3" name="Slots" state="visible" r:id="rId6"/>
    <sheet sheetId="4" name="Setup" state="visible" r:id="rId7"/>
  </sheets>
  <calcPr calcId="171027" fullCalcOnLoad="1"/>
</workbook>
</file>

<file path=xl/sharedStrings.xml><?xml version="1.0" encoding="utf-8"?>
<sst xmlns="http://schemas.openxmlformats.org/spreadsheetml/2006/main" count="77" uniqueCount="59">
  <si>
    <r>
      <rPr>
        <b/>
        <color rgb="FFFFFFFF"/>
        <sz val="18"/>
        <rFont val="Consolas"/>
      </rPr>
      <t>shift</t>
    </r>
    <r>
      <rPr>
        <b/>
        <color rgb="FFFF8181"/>
        <sz val="18"/>
        <rFont val="Consolas"/>
      </rPr>
      <t>.</t>
    </r>
    <r>
      <rPr>
        <b/>
        <color rgb="FFFFFFFF"/>
        <sz val="18"/>
        <rFont val="Consolas"/>
      </rPr>
      <t>mk</t>
    </r>
    <r>
      <rPr>
        <color rgb="FF808080"/>
        <sz val="10"/>
        <rFont val="Consolas"/>
      </rPr>
      <t xml:space="preserve">  / productivity</t>
    </r>
  </si>
  <si>
    <t>TICKETS PER HOUR  ·  QUOTAS  ·  SET FROM / TO TO REPORT ANY DAY, WEEK OR MONTH</t>
  </si>
  <si>
    <t>FROM</t>
  </si>
  <si>
    <t>TO</t>
  </si>
  <si>
    <t>TICKETS</t>
  </si>
  <si>
    <t>PRODUCTIVE HRS</t>
  </si>
  <si>
    <t>TICKETS / HR</t>
  </si>
  <si>
    <t>LOGGED HRS</t>
  </si>
  <si>
    <t>DEDUCTED HRS</t>
  </si>
  <si>
    <t>SHIFT HRS</t>
  </si>
  <si>
    <t>tickets / hr = tickets ÷ productive hours, after deductions. Ranges sum the daily totals, so it is weighted by hours.</t>
  </si>
  <si>
    <t>TASKS VS QUOTA  (PRODUCTIVE TAGS)</t>
  </si>
  <si>
    <t>TASK</t>
  </si>
  <si>
    <t>HOURS</t>
  </si>
  <si>
    <t>T / HR</t>
  </si>
  <si>
    <t>QUOTA / H</t>
  </si>
  <si>
    <t>EXPECTED</t>
  </si>
  <si>
    <t>ATTAINMENT</t>
  </si>
  <si>
    <t>TIME BY TAG</t>
  </si>
  <si>
    <t>TAG</t>
  </si>
  <si>
    <t>% OF LOGGED</t>
  </si>
  <si>
    <t>DATE</t>
  </si>
  <si>
    <t>SHIFT START</t>
  </si>
  <si>
    <t>SHIFT END</t>
  </si>
  <si>
    <t>SCHEDULED HRS</t>
  </si>
  <si>
    <t>SV TICKETS</t>
  </si>
  <si>
    <t>CM TICKETS</t>
  </si>
  <si>
    <t>SV QUOTA %</t>
  </si>
  <si>
    <t>CM QUOTA %</t>
  </si>
  <si>
    <t>SV HRS</t>
  </si>
  <si>
    <t>CM HRS</t>
  </si>
  <si>
    <t>NEW TAG 1 HRS</t>
  </si>
  <si>
    <t>NEW TAG 2 HRS</t>
  </si>
  <si>
    <t>NEW TAG 3 HRS</t>
  </si>
  <si>
    <t>INTERVAL START</t>
  </si>
  <si>
    <t>INTERVAL END</t>
  </si>
  <si>
    <t>MINUTES WORKED</t>
  </si>
  <si>
    <t>INTERVAL MIN</t>
  </si>
  <si>
    <t>PRODUCTIVE</t>
  </si>
  <si>
    <t>COUNTED MIN</t>
  </si>
  <si>
    <t>HOURS (CALCULATED)</t>
  </si>
  <si>
    <t>HRS DEDUCTED</t>
  </si>
  <si>
    <t>TICKETS COUNTED</t>
  </si>
  <si>
    <t>SV</t>
  </si>
  <si>
    <t>CM</t>
  </si>
  <si>
    <t>PRODUCTIVE (Y/N)</t>
  </si>
  <si>
    <t>QUOTA / HR</t>
  </si>
  <si>
    <t>HOW THIS WORKBOOK WORKS</t>
  </si>
  <si>
    <t>Y</t>
  </si>
  <si>
    <t>Accent headers are inputs you type into. Dim headers are formulas, leave them alone.</t>
  </si>
  <si>
    <t>Setup: mark a tag Y to make it a task. It counts toward tickets/hr and can have a quota / hr.</t>
  </si>
  <si>
    <t>New tag 1</t>
  </si>
  <si>
    <t>N</t>
  </si>
  <si>
    <t>Slots: pick a tag from the dropdown and enter tickets and MINUTES WORKED. Leave minutes blank for the full interval. HOURS (CALCULATED) is derived from minutes; do not enter it.</t>
  </si>
  <si>
    <t>New tag 2</t>
  </si>
  <si>
    <t>Slots: to add rows, copy the last row down so the formula columns come with it.</t>
  </si>
  <si>
    <t>New tag 3</t>
  </si>
  <si>
    <t>New tags go in the blank rows under the tag list on this sheet.</t>
  </si>
  <si>
    <t>Summary: set FROM / TO for any day, week or month. Daily lists the days that were exported.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</si>
</sst>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"/>
    <numFmt numFmtId="166" formatCode="hh:mm"/>
  </numFmts>
  <fonts count="10" x14ac:knownFonts="1">
    <font>
      <color theme="1"/>
      <family val="2"/>
      <scheme val="minor"/>
      <sz val="11"/>
      <name val="Calibri"/>
    </font>
    <font>
      <color rgb="FFFFFFFF"/>
      <sz val="10"/>
      <name val="Consolas"/>
    </font>
    <font>
      <color rgb="FF808080"/>
      <sz val="8"/>
      <name val="Consolas"/>
    </font>
    <font>
      <b/>
      <color rgb="FF808080"/>
      <sz val="9"/>
      <name val="Consolas"/>
    </font>
    <font>
      <b/>
      <color rgb="FFFF8181"/>
      <sz val="10"/>
      <name val="Consolas"/>
    </font>
    <font>
      <b/>
      <color rgb="FF808080"/>
      <sz val="8"/>
      <name val="Consolas"/>
    </font>
    <font>
      <b/>
      <color rgb="FFFFFFFF"/>
      <sz val="20"/>
      <name val="Consolas"/>
    </font>
    <font>
      <b/>
      <color rgb="FFFF8181"/>
      <sz val="20"/>
      <name val="Consolas"/>
    </font>
    <font>
      <b/>
      <color rgb="FFFF8181"/>
      <sz val="9"/>
      <name val="Consolas"/>
    </font>
    <font>
      <color rgb="FF808080"/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21212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8181"/>
      </bottom>
      <diagonal/>
    </border>
    <border>
      <left style="thin">
        <color rgb="FFFF8181"/>
      </left>
      <right style="thin">
        <color rgb="FFFF8181"/>
      </right>
      <top style="thin">
        <color rgb="FFFF8181"/>
      </top>
      <bottom style="thin">
        <color rgb="FFFF818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medium">
        <color rgb="FFFF8181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164" fontId="4" fillId="3" borderId="2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indent="1"/>
    </xf>
    <xf numFmtId="0" fontId="8" fillId="2" borderId="5" xfId="0" applyFont="1" applyFill="1" applyBorder="1" applyAlignment="1">
      <alignment vertical="bottom" indent="1"/>
    </xf>
    <xf numFmtId="0" fontId="1" fillId="2" borderId="5" xfId="0" applyFont="1" applyFill="1" applyBorder="1"/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indent="1"/>
    </xf>
    <xf numFmtId="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left" vertical="center" indent="1"/>
    </xf>
    <xf numFmtId="166" fontId="1" fillId="2" borderId="6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9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left" vertical="center" indent="1"/>
    </xf>
    <xf numFmtId="166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 inden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bgColor rgb="FF121212"/>
        </patternFill>
      </fill>
      <border>
        <left/>
        <right/>
        <top/>
        <bottom style="thin">
          <color rgb="FF333333"/>
        </bottom>
        <diagonal/>
      </border>
    </dxf>
    <dxf>
      <fill>
        <patternFill patternType="solid">
          <bgColor rgb="FF000000"/>
        </patternFill>
      </fill>
      <border>
        <left/>
        <right/>
        <top/>
        <bottom style="thin">
          <color rgb="FF333333"/>
        </bottom>
        <diagonal/>
      </border>
    </dxf>
    <dxf>
      <font>
        <b/>
        <color rgb="FF34D399"/>
      </font>
    </dxf>
    <dxf>
      <font>
        <b/>
        <color rgb="FFF87171"/>
      </font>
    </dxf>
    <dxf>
      <fill>
        <patternFill patternType="solid">
          <bgColor rgb="FF121212"/>
        </patternFill>
      </fill>
      <border>
        <left/>
        <right/>
        <top/>
        <bottom style="thin">
          <color rgb="FF333333"/>
        </bottom>
        <diagonal/>
      </border>
    </dxf>
    <dxf>
      <fill>
        <patternFill patternType="solid">
          <bgColor rgb="FF000000"/>
        </patternFill>
      </fill>
      <border>
        <left/>
        <right/>
        <top/>
        <bottom style="thin">
          <color rgb="FF333333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Daily" displayName="tblDaily" ref="A1:R2" totalsRowShown="1" headerRowCount="1">
  <autoFilter ref="A1:R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</autoFilter>
  <tableColumns count="18">
    <tableColumn id="1" name="DATE" totalsRowLabel="Total"/>
    <tableColumn id="2" name="SHIFT START" totalsRowFunction="none"/>
    <tableColumn id="3" name="SHIFT END" totalsRowFunction="none"/>
    <tableColumn id="4" name="SCHEDULED HRS" totalsRowFunction="none"/>
    <tableColumn id="5" name="LOGGED HRS" totalsRowFunction="none"/>
    <tableColumn id="6" name="PRODUCTIVE HRS" totalsRowFunction="none"/>
    <tableColumn id="7" name="DEDUCTED HRS" totalsRowFunction="none"/>
    <tableColumn id="8" name="TICKETS" totalsRowFunction="none"/>
    <tableColumn id="9" name="TICKETS / HR" totalsRowFunction="none"/>
    <tableColumn id="10" name="SV TICKETS" totalsRowFunction="none"/>
    <tableColumn id="11" name="CM TICKETS" totalsRowFunction="none"/>
    <tableColumn id="12" name="SV QUOTA %" totalsRowFunction="none"/>
    <tableColumn id="13" name="CM QUOTA %" totalsRowFunction="none"/>
    <tableColumn id="14" name="SV HRS" totalsRowFunction="none"/>
    <tableColumn id="15" name="CM HRS" totalsRowFunction="none"/>
    <tableColumn id="16" name="NEW TAG 1 HRS" totalsRowFunction="none"/>
    <tableColumn id="17" name="NEW TAG 2 HRS" totalsRowFunction="none"/>
    <tableColumn id="18" name="NEW TAG 3 HRS" totalsRowFunction="non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Slots" displayName="tblSlots" ref="A1:N3" totalsRowShown="1" headerRowCount="1">
  <autoFilter ref="A1:N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DATE" totalsRowLabel="Total"/>
    <tableColumn id="2" name="INTERVAL START" totalsRowFunction="none"/>
    <tableColumn id="3" name="INTERVAL END" totalsRowFunction="none"/>
    <tableColumn id="4" name="TAG" totalsRowFunction="none"/>
    <tableColumn id="5" name="TICKETS" totalsRowFunction="none"/>
    <tableColumn id="6" name="MINUTES WORKED" totalsRowFunction="none"/>
    <tableColumn id="7" name="INTERVAL MIN" totalsRowFunction="none"/>
    <tableColumn id="8" name="PRODUCTIVE" totalsRowFunction="none"/>
    <tableColumn id="9" name="COUNTED MIN" totalsRowFunction="none"/>
    <tableColumn id="10" name="HOURS (CALCULATED)" totalsRowFunction="none"/>
    <tableColumn id="11" name="HRS DEDUCTED" totalsRowFunction="none"/>
    <tableColumn id="12" name="PRODUCTIVE HRS" totalsRowFunction="none"/>
    <tableColumn id="13" name="TICKETS COUNTED" totalsRowFunction="none"/>
    <tableColumn id="14" name="TICKETS / HR" totalsRowFunction="non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Setup" displayName="tblSetup" ref="A1:C9" totalsRowShown="1" headerRowCount="1">
  <autoFilter ref="A1:C9">
    <filterColumn colId="0" hiddenButton="0"/>
    <filterColumn colId="1" hiddenButton="0"/>
    <filterColumn colId="2" hiddenButton="0"/>
  </autoFilter>
  <tableColumns count="3">
    <tableColumn id="1" name="TAG" totalsRowLabel="Total"/>
    <tableColumn id="2" name="PRODUCTIVE (Y/N)" totalsRowFunction="none"/>
    <tableColumn id="3" name="QUOTA / HR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G30"/>
  <sheetViews>
    <sheetView workbookViewId="0" showGridLines="0"/>
  </sheetViews>
  <sheetFormatPr defaultRowHeight="15" outlineLevelRow="0" outlineLevelCol="0" x14ac:dyDescent="55"/>
  <cols>
    <col min="1" max="1" width="26" style="1" customWidth="1"/>
    <col min="2" max="7" width="16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</cols>
  <sheetData>
    <row r="1" ht="42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24" customHeight="1" spans="1:7" x14ac:dyDescent="0.25">
      <c r="A2" s="3" t="s">
        <v>1</v>
      </c>
      <c r="B2" s="3"/>
      <c r="C2" s="3"/>
      <c r="D2" s="3"/>
      <c r="E2" s="3"/>
      <c r="F2" s="3"/>
      <c r="G2" s="3"/>
    </row>
    <row r="3" spans="1:2" x14ac:dyDescent="0.25">
      <c r="A3" s="4" t="s">
        <v>2</v>
      </c>
      <c r="B3" s="5">
        <v>46296</v>
      </c>
    </row>
    <row r="4" spans="1:2" x14ac:dyDescent="0.25">
      <c r="A4" s="4" t="s">
        <v>3</v>
      </c>
      <c r="B4" s="5">
        <v>46326</v>
      </c>
    </row>
    <row r="6" ht="22" customHeight="1" spans="1:6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ht="40" customHeight="1" spans="1:6" x14ac:dyDescent="0.25">
      <c r="A7" s="7">
        <f>SUMIFS(Slots!$M:$M,Slots!$A:$A,"&gt;="&amp;$B$3,Slots!$A:$A,"&lt;="&amp;$B$4)</f>
      </c>
      <c r="B7" s="8">
        <f>SUMIFS(Slots!$L:$L,Slots!$A:$A,"&gt;="&amp;$B$3,Slots!$A:$A,"&lt;="&amp;$B$4)</f>
      </c>
      <c r="C7" s="9">
        <f>IF(B7&gt;0,A7/B7,0)</f>
      </c>
      <c r="D7" s="8">
        <f>SUMIFS(Slots!$J:$J,Slots!$A:$A,"&gt;="&amp;$B$3,Slots!$A:$A,"&lt;="&amp;$B$4)</f>
      </c>
      <c r="E7" s="8">
        <f>SUMIFS(Slots!$K:$K,Slots!$A:$A,"&gt;="&amp;$B$3,Slots!$A:$A,"&lt;="&amp;$B$4)</f>
      </c>
      <c r="F7" s="8">
        <f>SUMIFS(Daily!$D:$D,Daily!$A:$A,"&gt;="&amp;$B$3,Daily!$A:$A,"&lt;="&amp;$B$4)</f>
      </c>
    </row>
    <row r="9" spans="1:7" x14ac:dyDescent="0.25">
      <c r="A9" s="10" t="s">
        <v>10</v>
      </c>
      <c r="B9" s="10"/>
      <c r="C9" s="10"/>
      <c r="D9" s="10"/>
      <c r="E9" s="10"/>
      <c r="F9" s="10"/>
      <c r="G9" s="10"/>
    </row>
    <row r="11" ht="28" customHeight="1" spans="1:7" x14ac:dyDescent="0.25">
      <c r="A11" s="11" t="s">
        <v>11</v>
      </c>
      <c r="B11" s="12"/>
      <c r="C11" s="12"/>
      <c r="D11" s="12"/>
      <c r="E11" s="12"/>
      <c r="F11" s="12"/>
      <c r="G11" s="12"/>
    </row>
    <row r="12" ht="24" customHeight="1" spans="1:7" x14ac:dyDescent="0.25">
      <c r="A12" s="13" t="s">
        <v>12</v>
      </c>
      <c r="B12" s="14" t="s">
        <v>4</v>
      </c>
      <c r="C12" s="14" t="s">
        <v>13</v>
      </c>
      <c r="D12" s="14" t="s">
        <v>14</v>
      </c>
      <c r="E12" s="14" t="s">
        <v>15</v>
      </c>
      <c r="F12" s="14" t="s">
        <v>16</v>
      </c>
      <c r="G12" s="14" t="s">
        <v>17</v>
      </c>
    </row>
    <row r="13" spans="1:7" x14ac:dyDescent="0.25">
      <c r="A13" s="15">
        <f>IF(AND(Setup!$A$2&lt;&gt;"",Setup!$B$2="Y"),Setup!$A$2,"")</f>
      </c>
      <c r="B13" s="16">
        <f>IF($A13="","",SUMIFS(Slots!$M:$M,Slots!$A:$A,"&gt;="&amp;$B$3,Slots!$A:$A,"&lt;="&amp;$B$4,Slots!$D:$D,$A13))</f>
      </c>
      <c r="C13" s="17">
        <f>IF($A13="","",SUMIFS(Slots!$L:$L,Slots!$A:$A,"&gt;="&amp;$B$3,Slots!$A:$A,"&lt;="&amp;$B$4,Slots!$D:$D,$A13))</f>
      </c>
      <c r="D13" s="18">
        <f>IF($A13="","",IF(C13&gt;0,B13/C13,0))</f>
      </c>
      <c r="E13" s="19">
        <f>IF($A13="","",IF(N(Setup!$C$2)&gt;0,Setup!$C$2,""))</f>
      </c>
      <c r="F13" s="17">
        <f>IF($A13="","",IF(AND(N(E13)&gt;0,C13&gt;0),E13*C13,""))</f>
      </c>
      <c r="G13" s="20">
        <f>IF($A13="","",IF(F13="","",B13/F13))</f>
      </c>
    </row>
    <row r="14" spans="1:7" x14ac:dyDescent="0.25">
      <c r="A14" s="15">
        <f>IF(AND(Setup!$A$3&lt;&gt;"",Setup!$B$3="Y"),Setup!$A$3,"")</f>
      </c>
      <c r="B14" s="16">
        <f>IF($A14="","",SUMIFS(Slots!$M:$M,Slots!$A:$A,"&gt;="&amp;$B$3,Slots!$A:$A,"&lt;="&amp;$B$4,Slots!$D:$D,$A14))</f>
      </c>
      <c r="C14" s="17">
        <f>IF($A14="","",SUMIFS(Slots!$L:$L,Slots!$A:$A,"&gt;="&amp;$B$3,Slots!$A:$A,"&lt;="&amp;$B$4,Slots!$D:$D,$A14))</f>
      </c>
      <c r="D14" s="18">
        <f>IF($A14="","",IF(C14&gt;0,B14/C14,0))</f>
      </c>
      <c r="E14" s="19">
        <f>IF($A14="","",IF(N(Setup!$C$3)&gt;0,Setup!$C$3,""))</f>
      </c>
      <c r="F14" s="17">
        <f>IF($A14="","",IF(AND(N(E14)&gt;0,C14&gt;0),E14*C14,""))</f>
      </c>
      <c r="G14" s="20">
        <f>IF($A14="","",IF(F14="","",B14/F14))</f>
      </c>
    </row>
    <row r="15" spans="1:7" x14ac:dyDescent="0.25">
      <c r="A15" s="15">
        <f>IF(AND(Setup!$A$7&lt;&gt;"",Setup!$B$7="Y"),Setup!$A$7,"")</f>
      </c>
      <c r="B15" s="16">
        <f>IF($A15="","",SUMIFS(Slots!$M:$M,Slots!$A:$A,"&gt;="&amp;$B$3,Slots!$A:$A,"&lt;="&amp;$B$4,Slots!$D:$D,$A15))</f>
      </c>
      <c r="C15" s="17">
        <f>IF($A15="","",SUMIFS(Slots!$L:$L,Slots!$A:$A,"&gt;="&amp;$B$3,Slots!$A:$A,"&lt;="&amp;$B$4,Slots!$D:$D,$A15))</f>
      </c>
      <c r="D15" s="18">
        <f>IF($A15="","",IF(C15&gt;0,B15/C15,0))</f>
      </c>
      <c r="E15" s="19">
        <f>IF($A15="","",IF(N(Setup!$C$7)&gt;0,Setup!$C$7,""))</f>
      </c>
      <c r="F15" s="17">
        <f>IF($A15="","",IF(AND(N(E15)&gt;0,C15&gt;0),E15*C15,""))</f>
      </c>
      <c r="G15" s="20">
        <f>IF($A15="","",IF(F15="","",B15/F15))</f>
      </c>
    </row>
    <row r="16" spans="1:7" x14ac:dyDescent="0.25">
      <c r="A16" s="15">
        <f>IF(AND(Setup!$A$8&lt;&gt;"",Setup!$B$8="Y"),Setup!$A$8,"")</f>
      </c>
      <c r="B16" s="16">
        <f>IF($A16="","",SUMIFS(Slots!$M:$M,Slots!$A:$A,"&gt;="&amp;$B$3,Slots!$A:$A,"&lt;="&amp;$B$4,Slots!$D:$D,$A16))</f>
      </c>
      <c r="C16" s="17">
        <f>IF($A16="","",SUMIFS(Slots!$L:$L,Slots!$A:$A,"&gt;="&amp;$B$3,Slots!$A:$A,"&lt;="&amp;$B$4,Slots!$D:$D,$A16))</f>
      </c>
      <c r="D16" s="18">
        <f>IF($A16="","",IF(C16&gt;0,B16/C16,0))</f>
      </c>
      <c r="E16" s="19">
        <f>IF($A16="","",IF(N(Setup!$C$8)&gt;0,Setup!$C$8,""))</f>
      </c>
      <c r="F16" s="17">
        <f>IF($A16="","",IF(AND(N(E16)&gt;0,C16&gt;0),E16*C16,""))</f>
      </c>
      <c r="G16" s="20">
        <f>IF($A16="","",IF(F16="","",B16/F16))</f>
      </c>
    </row>
    <row r="17" spans="1:7" x14ac:dyDescent="0.25">
      <c r="A17" s="15">
        <f>IF(AND(Setup!$A$9&lt;&gt;"",Setup!$B$9="Y"),Setup!$A$9,"")</f>
      </c>
      <c r="B17" s="16">
        <f>IF($A17="","",SUMIFS(Slots!$M:$M,Slots!$A:$A,"&gt;="&amp;$B$3,Slots!$A:$A,"&lt;="&amp;$B$4,Slots!$D:$D,$A17))</f>
      </c>
      <c r="C17" s="17">
        <f>IF($A17="","",SUMIFS(Slots!$L:$L,Slots!$A:$A,"&gt;="&amp;$B$3,Slots!$A:$A,"&lt;="&amp;$B$4,Slots!$D:$D,$A17))</f>
      </c>
      <c r="D17" s="18">
        <f>IF($A17="","",IF(C17&gt;0,B17/C17,0))</f>
      </c>
      <c r="E17" s="19">
        <f>IF($A17="","",IF(N(Setup!$C$9)&gt;0,Setup!$C$9,""))</f>
      </c>
      <c r="F17" s="17">
        <f>IF($A17="","",IF(AND(N(E17)&gt;0,C17&gt;0),E17*C17,""))</f>
      </c>
      <c r="G17" s="20">
        <f>IF($A17="","",IF(F17="","",B17/F17))</f>
      </c>
    </row>
    <row r="18" spans="1:7" x14ac:dyDescent="0.25">
      <c r="A18" s="15">
        <f>IF(AND(Setup!$A$10&lt;&gt;"",Setup!$B$10="Y"),Setup!$A$10,"")</f>
      </c>
      <c r="B18" s="16">
        <f>IF($A18="","",SUMIFS(Slots!$M:$M,Slots!$A:$A,"&gt;="&amp;$B$3,Slots!$A:$A,"&lt;="&amp;$B$4,Slots!$D:$D,$A18))</f>
      </c>
      <c r="C18" s="17">
        <f>IF($A18="","",SUMIFS(Slots!$L:$L,Slots!$A:$A,"&gt;="&amp;$B$3,Slots!$A:$A,"&lt;="&amp;$B$4,Slots!$D:$D,$A18))</f>
      </c>
      <c r="D18" s="18">
        <f>IF($A18="","",IF(C18&gt;0,B18/C18,0))</f>
      </c>
      <c r="E18" s="19">
        <f>IF($A18="","",IF(N(Setup!$C$10)&gt;0,Setup!$C$10,""))</f>
      </c>
      <c r="F18" s="17">
        <f>IF($A18="","",IF(AND(N(E18)&gt;0,C18&gt;0),E18*C18,""))</f>
      </c>
      <c r="G18" s="20">
        <f>IF($A18="","",IF(F18="","",B18/F18))</f>
      </c>
    </row>
    <row r="20" ht="28" customHeight="1" spans="1:3" x14ac:dyDescent="0.25">
      <c r="A20" s="11" t="s">
        <v>18</v>
      </c>
      <c r="B20" s="12"/>
      <c r="C20" s="12"/>
    </row>
    <row r="21" ht="24" customHeight="1" spans="1:3" x14ac:dyDescent="0.25">
      <c r="A21" s="13" t="s">
        <v>19</v>
      </c>
      <c r="B21" s="14" t="s">
        <v>13</v>
      </c>
      <c r="C21" s="14" t="s">
        <v>20</v>
      </c>
    </row>
    <row r="22" spans="1:3" x14ac:dyDescent="0.25">
      <c r="A22" s="15">
        <f>IF(Setup!$A$2="","",Setup!$A$2)</f>
      </c>
      <c r="B22" s="17">
        <f>IF($A22="","",SUMIFS(Slots!$J:$J,Slots!$A:$A,"&gt;="&amp;$B$3,Slots!$A:$A,"&lt;="&amp;$B$4,Slots!$D:$D,$A22))</f>
      </c>
      <c r="C22" s="20">
        <f>IF($A22="","",IF($D$7&gt;0,B22/$D$7,0))</f>
      </c>
    </row>
    <row r="23" spans="1:3" x14ac:dyDescent="0.25">
      <c r="A23" s="15">
        <f>IF(Setup!$A$3="","",Setup!$A$3)</f>
      </c>
      <c r="B23" s="17">
        <f>IF($A23="","",SUMIFS(Slots!$J:$J,Slots!$A:$A,"&gt;="&amp;$B$3,Slots!$A:$A,"&lt;="&amp;$B$4,Slots!$D:$D,$A23))</f>
      </c>
      <c r="C23" s="20">
        <f>IF($A23="","",IF($D$7&gt;0,B23/$D$7,0))</f>
      </c>
    </row>
    <row r="24" spans="1:3" x14ac:dyDescent="0.25">
      <c r="A24" s="15">
        <f>IF(Setup!$A$4="","",Setup!$A$4)</f>
      </c>
      <c r="B24" s="17">
        <f>IF($A24="","",SUMIFS(Slots!$J:$J,Slots!$A:$A,"&gt;="&amp;$B$3,Slots!$A:$A,"&lt;="&amp;$B$4,Slots!$D:$D,$A24))</f>
      </c>
      <c r="C24" s="20">
        <f>IF($A24="","",IF($D$7&gt;0,B24/$D$7,0))</f>
      </c>
    </row>
    <row r="25" spans="1:3" x14ac:dyDescent="0.25">
      <c r="A25" s="15">
        <f>IF(Setup!$A$5="","",Setup!$A$5)</f>
      </c>
      <c r="B25" s="17">
        <f>IF($A25="","",SUMIFS(Slots!$J:$J,Slots!$A:$A,"&gt;="&amp;$B$3,Slots!$A:$A,"&lt;="&amp;$B$4,Slots!$D:$D,$A25))</f>
      </c>
      <c r="C25" s="20">
        <f>IF($A25="","",IF($D$7&gt;0,B25/$D$7,0))</f>
      </c>
    </row>
    <row r="26" spans="1:3" x14ac:dyDescent="0.25">
      <c r="A26" s="15">
        <f>IF(Setup!$A$6="","",Setup!$A$6)</f>
      </c>
      <c r="B26" s="17">
        <f>IF($A26="","",SUMIFS(Slots!$J:$J,Slots!$A:$A,"&gt;="&amp;$B$3,Slots!$A:$A,"&lt;="&amp;$B$4,Slots!$D:$D,$A26))</f>
      </c>
      <c r="C26" s="20">
        <f>IF($A26="","",IF($D$7&gt;0,B26/$D$7,0))</f>
      </c>
    </row>
    <row r="27" spans="1:3" x14ac:dyDescent="0.25">
      <c r="A27" s="15">
        <f>IF(Setup!$A$7="","",Setup!$A$7)</f>
      </c>
      <c r="B27" s="17">
        <f>IF($A27="","",SUMIFS(Slots!$J:$J,Slots!$A:$A,"&gt;="&amp;$B$3,Slots!$A:$A,"&lt;="&amp;$B$4,Slots!$D:$D,$A27))</f>
      </c>
      <c r="C27" s="20">
        <f>IF($A27="","",IF($D$7&gt;0,B27/$D$7,0))</f>
      </c>
    </row>
    <row r="28" spans="1:3" x14ac:dyDescent="0.25">
      <c r="A28" s="15">
        <f>IF(Setup!$A$8="","",Setup!$A$8)</f>
      </c>
      <c r="B28" s="17">
        <f>IF($A28="","",SUMIFS(Slots!$J:$J,Slots!$A:$A,"&gt;="&amp;$B$3,Slots!$A:$A,"&lt;="&amp;$B$4,Slots!$D:$D,$A28))</f>
      </c>
      <c r="C28" s="20">
        <f>IF($A28="","",IF($D$7&gt;0,B28/$D$7,0))</f>
      </c>
    </row>
    <row r="29" spans="1:3" x14ac:dyDescent="0.25">
      <c r="A29" s="15">
        <f>IF(Setup!$A$9="","",Setup!$A$9)</f>
      </c>
      <c r="B29" s="17">
        <f>IF($A29="","",SUMIFS(Slots!$J:$J,Slots!$A:$A,"&gt;="&amp;$B$3,Slots!$A:$A,"&lt;="&amp;$B$4,Slots!$D:$D,$A29))</f>
      </c>
      <c r="C29" s="20">
        <f>IF($A29="","",IF($D$7&gt;0,B29/$D$7,0))</f>
      </c>
    </row>
    <row r="30" spans="1:3" x14ac:dyDescent="0.25">
      <c r="A30" s="15">
        <f>IF(Setup!$A$10="","",Setup!$A$10)</f>
      </c>
      <c r="B30" s="17">
        <f>IF($A30="","",SUMIFS(Slots!$J:$J,Slots!$A:$A,"&gt;="&amp;$B$3,Slots!$A:$A,"&lt;="&amp;$B$4,Slots!$D:$D,$A30))</f>
      </c>
      <c r="C30" s="20">
        <f>IF($A30="","",IF($D$7&gt;0,B30/$D$7,0))</f>
      </c>
    </row>
  </sheetData>
  <mergeCells count="3">
    <mergeCell ref="A1:G1"/>
    <mergeCell ref="A2:G2"/>
    <mergeCell ref="A9:G9"/>
  </mergeCells>
  <conditionalFormatting sqref="A13:G18">
    <cfRule type="expression" dxfId="0" priority="3">
      <formula>AND($A13&lt;&gt;"",MOD(ROW(),2)=1)</formula>
    </cfRule>
    <cfRule type="expression" dxfId="1" priority="4">
      <formula>AND($A13&lt;&gt;"",MOD(ROW(),2)=0)</formula>
    </cfRule>
  </conditionalFormatting>
  <conditionalFormatting sqref="G13:G18">
    <cfRule type="expression" dxfId="2" priority="1">
      <formula>AND(ISNUMBER($G13),$G13&gt;=1)</formula>
    </cfRule>
    <cfRule type="expression" dxfId="3" priority="2">
      <formula>AND(ISNUMBER($G13),$G13&lt;1)</formula>
    </cfRule>
  </conditionalFormatting>
  <conditionalFormatting sqref="A22:C30">
    <cfRule type="expression" dxfId="4" priority="3">
      <formula>AND($A22&lt;&gt;"",MOD(ROW(),2)=1)</formula>
    </cfRule>
    <cfRule type="expression" dxfId="5" priority="4">
      <formula>AND($A22&lt;&gt;"",MOD(ROW(),2)=0)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R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style="1" customWidth="1"/>
    <col min="2" max="3" width="11" style="1" customWidth="1"/>
    <col min="4" max="4" width="14" style="1" customWidth="1"/>
    <col min="5" max="5" width="12" style="1" customWidth="1"/>
    <col min="6" max="6" width="15" style="1" customWidth="1"/>
    <col min="7" max="7" width="14" style="1" customWidth="1"/>
    <col min="8" max="8" width="10" style="1" customWidth="1"/>
    <col min="9" max="9" width="13" style="1" customWidth="1"/>
    <col min="10" max="18" width="17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</cols>
  <sheetData>
    <row r="1" ht="30" customHeight="1" spans="1:18" x14ac:dyDescent="0.25">
      <c r="A1" s="21" t="s">
        <v>21</v>
      </c>
      <c r="B1" s="22" t="s">
        <v>22</v>
      </c>
      <c r="C1" s="22" t="s">
        <v>23</v>
      </c>
      <c r="D1" s="23" t="s">
        <v>24</v>
      </c>
      <c r="E1" s="23" t="s">
        <v>7</v>
      </c>
      <c r="F1" s="23" t="s">
        <v>5</v>
      </c>
      <c r="G1" s="23" t="s">
        <v>8</v>
      </c>
      <c r="H1" s="23" t="s">
        <v>4</v>
      </c>
      <c r="I1" s="23" t="s">
        <v>6</v>
      </c>
      <c r="J1" s="23" t="s">
        <v>25</v>
      </c>
      <c r="K1" s="23" t="s">
        <v>26</v>
      </c>
      <c r="L1" s="23" t="s">
        <v>27</v>
      </c>
      <c r="M1" s="23" t="s">
        <v>28</v>
      </c>
      <c r="N1" s="23" t="s">
        <v>29</v>
      </c>
      <c r="O1" s="23" t="s">
        <v>30</v>
      </c>
      <c r="P1" s="23" t="s">
        <v>31</v>
      </c>
      <c r="Q1" s="23" t="s">
        <v>32</v>
      </c>
      <c r="R1" s="23" t="s">
        <v>33</v>
      </c>
    </row>
    <row r="2" spans="1:18" x14ac:dyDescent="0.25">
      <c r="A2" s="24">
        <v>46323</v>
      </c>
      <c r="B2" s="25">
        <v>0.9583333333333334</v>
      </c>
      <c r="C2" s="25">
        <v>0.3333333333333333</v>
      </c>
      <c r="D2" s="26">
        <f>IF(E2&gt;0,IF(C2=B2,24,ROUND(MOD(C2-B2,1)*24,4)),0)</f>
      </c>
      <c r="E2" s="26">
        <f>SUMIFS(Slots!$J:$J,Slots!$A:$A,$A2)</f>
      </c>
      <c r="F2" s="26">
        <f>SUMIFS(Slots!$L:$L,Slots!$A:$A,$A2)</f>
      </c>
      <c r="G2" s="26">
        <f>SUMIFS(Slots!$K:$K,Slots!$A:$A,$A2)</f>
      </c>
      <c r="H2" s="27">
        <f>SUMIFS(Slots!$M:$M,Slots!$A:$A,$A2)</f>
      </c>
      <c r="I2" s="28">
        <f>IF(F2&gt;0,H2/F2,0)</f>
      </c>
      <c r="J2" s="27">
        <f>SUMIFS(Slots!$M:$M,Slots!$A:$A,$A2,Slots!$D:$D,Setup!$A$2)</f>
      </c>
      <c r="K2" s="27">
        <f>SUMIFS(Slots!$M:$M,Slots!$A:$A,$A2,Slots!$D:$D,Setup!$A$3)</f>
      </c>
      <c r="L2" s="29">
        <f>IF(AND(N(Setup!$C$2)&gt;0,SUMIFS(Slots!$L:$L,Slots!$A:$A,$A2,Slots!$D:$D,Setup!$A$2)&gt;0),J2/(Setup!$C$2*SUMIFS(Slots!$L:$L,Slots!$A:$A,$A2,Slots!$D:$D,Setup!$A$2)),"")</f>
      </c>
      <c r="M2" s="29">
        <f>IF(AND(N(Setup!$C$3)&gt;0,SUMIFS(Slots!$L:$L,Slots!$A:$A,$A2,Slots!$D:$D,Setup!$A$3)&gt;0),K2/(Setup!$C$3*SUMIFS(Slots!$L:$L,Slots!$A:$A,$A2,Slots!$D:$D,Setup!$A$3)),"")</f>
      </c>
      <c r="N2" s="26">
        <f>SUMIFS(Slots!$J:$J,Slots!$A:$A,$A2,Slots!$D:$D,Setup!$A$2)</f>
      </c>
      <c r="O2" s="26">
        <f>SUMIFS(Slots!$J:$J,Slots!$A:$A,$A2,Slots!$D:$D,Setup!$A$3)</f>
      </c>
      <c r="P2" s="26">
        <f>SUMIFS(Slots!$J:$J,Slots!$A:$A,$A2,Slots!$D:$D,Setup!$A$4)</f>
      </c>
      <c r="Q2" s="26">
        <f>SUMIFS(Slots!$J:$J,Slots!$A:$A,$A2,Slots!$D:$D,Setup!$A$5)</f>
      </c>
      <c r="R2" s="26">
        <f>SUMIFS(Slots!$J:$J,Slots!$A:$A,$A2,Slots!$D:$D,Setup!$A$6)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N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11" style="1" customWidth="1"/>
    <col min="4" max="4" width="22" style="1" customWidth="1"/>
    <col min="5" max="5" width="9" style="1" customWidth="1"/>
    <col min="6" max="7" width="10" style="1" customWidth="1"/>
    <col min="8" max="8" width="12" style="1" customWidth="1"/>
    <col min="9" max="9" width="13" style="1" customWidth="1"/>
    <col min="10" max="10" width="9" style="1" customWidth="1"/>
    <col min="11" max="11" width="14" style="1" customWidth="1"/>
    <col min="12" max="12" width="15" style="1" customWidth="1"/>
    <col min="13" max="13" width="16" style="1" customWidth="1"/>
    <col min="14" max="14" width="14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</cols>
  <sheetData>
    <row r="1" ht="30" customHeight="1" spans="1:14" x14ac:dyDescent="0.25">
      <c r="A1" s="21" t="s">
        <v>21</v>
      </c>
      <c r="B1" s="22" t="s">
        <v>34</v>
      </c>
      <c r="C1" s="22" t="s">
        <v>35</v>
      </c>
      <c r="D1" s="21" t="s">
        <v>19</v>
      </c>
      <c r="E1" s="22" t="s">
        <v>4</v>
      </c>
      <c r="F1" s="22" t="s">
        <v>36</v>
      </c>
      <c r="G1" s="22" t="s">
        <v>37</v>
      </c>
      <c r="H1" s="23" t="s">
        <v>38</v>
      </c>
      <c r="I1" s="23" t="s">
        <v>39</v>
      </c>
      <c r="J1" s="23" t="s">
        <v>40</v>
      </c>
      <c r="K1" s="23" t="s">
        <v>41</v>
      </c>
      <c r="L1" s="23" t="s">
        <v>5</v>
      </c>
      <c r="M1" s="23" t="s">
        <v>42</v>
      </c>
      <c r="N1" s="23" t="s">
        <v>6</v>
      </c>
    </row>
    <row r="2" spans="1:14" x14ac:dyDescent="0.25">
      <c r="A2" s="24">
        <v>46323</v>
      </c>
      <c r="B2" s="25">
        <v>0.9583333333333334</v>
      </c>
      <c r="C2" s="25">
        <v>0.9791666666666666</v>
      </c>
      <c r="D2" s="30" t="s">
        <v>43</v>
      </c>
      <c r="E2" s="27">
        <v>200</v>
      </c>
      <c r="F2" s="27">
        <v>30</v>
      </c>
      <c r="G2" s="27">
        <v>30</v>
      </c>
      <c r="H2" s="31">
        <f>IF(D2="","",IFERROR(VLOOKUP(D2,Setup!$A$2:$B$60,2,FALSE),""))</f>
      </c>
      <c r="I2" s="32">
        <f>IF(H2="","",MIN(MAX(0,IF(F2="",G2,F2)),G2))</f>
      </c>
      <c r="J2" s="26">
        <f>IF(I2="","",I2/60)</f>
      </c>
      <c r="K2" s="26">
        <f>IF(I2="","",(G2-I2)/60)</f>
      </c>
      <c r="L2" s="26">
        <f>IF(H2="Y",J2,0)</f>
      </c>
      <c r="M2" s="27">
        <f>IF(H2="Y",MAX(0,N(E2)),0)</f>
      </c>
      <c r="N2" s="28">
        <f>IF(L2&gt;0,M2/L2,"")</f>
      </c>
    </row>
    <row r="3" spans="1:14" x14ac:dyDescent="0.25">
      <c r="A3" s="33">
        <v>46323</v>
      </c>
      <c r="B3" s="34">
        <v>0.041666666666666664</v>
      </c>
      <c r="C3" s="34">
        <v>0.0625</v>
      </c>
      <c r="D3" s="35" t="s">
        <v>44</v>
      </c>
      <c r="E3" s="36">
        <v>500</v>
      </c>
      <c r="F3" s="36">
        <v>15</v>
      </c>
      <c r="G3" s="36">
        <v>30</v>
      </c>
      <c r="H3" s="37">
        <f>IF(D3="","",IFERROR(VLOOKUP(D3,Setup!$A$2:$B$60,2,FALSE),""))</f>
      </c>
      <c r="I3" s="38">
        <f>IF(H3="","",MIN(MAX(0,IF(F3="",G3,F3)),G3))</f>
      </c>
      <c r="J3" s="39">
        <f>IF(I3="","",I3/60)</f>
      </c>
      <c r="K3" s="39">
        <f>IF(I3="","",(G3-I3)/60)</f>
      </c>
      <c r="L3" s="39">
        <f>IF(H3="Y",J3,0)</f>
      </c>
      <c r="M3" s="36">
        <f>IF(H3="Y",MAX(0,N(E3)),0)</f>
      </c>
      <c r="N3" s="40">
        <f>IF(L3&gt;0,M3/L3,"")</f>
      </c>
    </row>
  </sheetData>
  <dataValidations count="1">
    <dataValidation type="list" allowBlank="1" sqref="D2:D3">
      <formula1>Setup!$A$2:$A$9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E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18" style="1" customWidth="1"/>
    <col min="3" max="3" width="13" style="1" customWidth="1"/>
    <col min="4" max="4" width="3" style="1" customWidth="1"/>
    <col min="5" max="5" width="95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</cols>
  <sheetData>
    <row r="1" ht="30" customHeight="1" spans="1:5" x14ac:dyDescent="0.25">
      <c r="A1" s="21" t="s">
        <v>19</v>
      </c>
      <c r="B1" s="22" t="s">
        <v>45</v>
      </c>
      <c r="C1" s="22" t="s">
        <v>46</v>
      </c>
      <c r="E1" s="41" t="s">
        <v>47</v>
      </c>
    </row>
    <row r="2" spans="1:5" x14ac:dyDescent="0.25">
      <c r="A2" s="30" t="s">
        <v>43</v>
      </c>
      <c r="B2" s="31" t="s">
        <v>48</v>
      </c>
      <c r="C2" s="32">
        <v>200</v>
      </c>
      <c r="E2" s="42" t="s">
        <v>49</v>
      </c>
    </row>
    <row r="3" spans="1:5" x14ac:dyDescent="0.25">
      <c r="A3" s="35" t="s">
        <v>44</v>
      </c>
      <c r="B3" s="37" t="s">
        <v>48</v>
      </c>
      <c r="C3" s="38">
        <v>3000</v>
      </c>
      <c r="E3" s="42" t="s">
        <v>50</v>
      </c>
    </row>
    <row r="4" spans="1:5" x14ac:dyDescent="0.25">
      <c r="A4" s="30" t="s">
        <v>51</v>
      </c>
      <c r="B4" s="31" t="s">
        <v>52</v>
      </c>
      <c r="C4" s="32"/>
      <c r="E4" s="42" t="s">
        <v>53</v>
      </c>
    </row>
    <row r="5" spans="1:5" x14ac:dyDescent="0.25">
      <c r="A5" s="35" t="s">
        <v>54</v>
      </c>
      <c r="B5" s="37" t="s">
        <v>52</v>
      </c>
      <c r="C5" s="38"/>
      <c r="E5" s="42" t="s">
        <v>55</v>
      </c>
    </row>
    <row r="6" spans="1:5" x14ac:dyDescent="0.25">
      <c r="A6" s="30" t="s">
        <v>56</v>
      </c>
      <c r="B6" s="31" t="s">
        <v>52</v>
      </c>
      <c r="C6" s="32"/>
      <c r="E6" s="42" t="s">
        <v>57</v>
      </c>
    </row>
    <row r="7" spans="1:5" x14ac:dyDescent="0.25">
      <c r="A7" s="35"/>
      <c r="B7" s="37"/>
      <c r="C7" s="38"/>
      <c r="E7" s="42" t="s">
        <v>58</v>
      </c>
    </row>
    <row r="8" spans="1:3" x14ac:dyDescent="0.25">
      <c r="A8" s="30"/>
      <c r="B8" s="31"/>
      <c r="C8" s="32"/>
    </row>
    <row r="9" spans="1:3" x14ac:dyDescent="0.25">
      <c r="A9" s="35"/>
      <c r="B9" s="37"/>
      <c r="C9" s="38"/>
    </row>
  </sheetData>
  <dataValidations count="1">
    <dataValidation type="list" allowBlank="1" showErrorMessage="1" errorStyle="stop" errorTitle="Y or N" error="Pick Y (productive) or N." sqref="B2:B9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</vt:lpstr>
      <vt:lpstr>Slots</vt:lpstr>
      <vt:lpstr>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shift.mk</dc:creator>
  <dc:title/>
  <dc:subject/>
  <dc:description/>
  <cp:keywords/>
  <cp:category/>
  <cp:lastModifiedBy>Unknown</cp:lastModifiedBy>
  <dcterms:created xsi:type="dcterms:W3CDTF">2026-10-28T15:03:02Z</dcterms:created>
  <dcterms:modified xsi:type="dcterms:W3CDTF">2026-10-28T15:03:02Z</dcterms:modified>
</cp:coreProperties>
</file>