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" state="visible" r:id="rId5"/>
    <sheet sheetId="3" name="Slots" state="visible" r:id="rId6"/>
    <sheet sheetId="4" name="Setup" state="visible" r:id="rId7"/>
  </sheets>
  <calcPr calcId="171027" fullCalcOnLoad="1"/>
</workbook>
</file>

<file path=xl/sharedStrings.xml><?xml version="1.0" encoding="utf-8"?>
<sst xmlns="http://schemas.openxmlformats.org/spreadsheetml/2006/main" count="73" uniqueCount="52">
  <si>
    <t>from</t>
  </si>
  <si>
    <t>to</t>
  </si>
  <si>
    <t>tickets</t>
  </si>
  <si>
    <t>productive hrs</t>
  </si>
  <si>
    <t>tickets / hr</t>
  </si>
  <si>
    <t>logged hrs</t>
  </si>
  <si>
    <t>deducted hrs</t>
  </si>
  <si>
    <t>shift hrs</t>
  </si>
  <si>
    <t>tickets / hr = tickets ÷ productive hours, after deductions. Ranges sum the daily totals, so it is weighted by hours.</t>
  </si>
  <si>
    <t>tasks vs quota</t>
  </si>
  <si>
    <t>task</t>
  </si>
  <si>
    <t>hours</t>
  </si>
  <si>
    <t>t/hr</t>
  </si>
  <si>
    <t>quota/h</t>
  </si>
  <si>
    <t>expected</t>
  </si>
  <si>
    <t>attainment</t>
  </si>
  <si>
    <t>(no task / unlisted)</t>
  </si>
  <si>
    <t>time by tag</t>
  </si>
  <si>
    <t>tag</t>
  </si>
  <si>
    <t>% of logged</t>
  </si>
  <si>
    <t>date</t>
  </si>
  <si>
    <t>shift_start</t>
  </si>
  <si>
    <t>shift_end</t>
  </si>
  <si>
    <t>scheduled_hours</t>
  </si>
  <si>
    <t>logged_hours</t>
  </si>
  <si>
    <t>productive_hours</t>
  </si>
  <si>
    <t>deducted_hours</t>
  </si>
  <si>
    <t>tickets_per_hour</t>
  </si>
  <si>
    <t>slot_start</t>
  </si>
  <si>
    <t>slot_end</t>
  </si>
  <si>
    <t>minutes (blank = full)</t>
  </si>
  <si>
    <t>slot_min</t>
  </si>
  <si>
    <t>productive</t>
  </si>
  <si>
    <t>minutes_counted</t>
  </si>
  <si>
    <t>hours_deducted</t>
  </si>
  <si>
    <t>tickets_counted</t>
  </si>
  <si>
    <t>SV</t>
  </si>
  <si>
    <t>CM</t>
  </si>
  <si>
    <t>productive (Y/N)</t>
  </si>
  <si>
    <t>quota / hr</t>
  </si>
  <si>
    <t>legend</t>
  </si>
  <si>
    <t>Y</t>
  </si>
  <si>
    <t>blue = input you can edit, black = formula</t>
  </si>
  <si>
    <t>Slots: leave minutes blank for a full slot, or enter the real minutes. The rest is deducted.</t>
  </si>
  <si>
    <t>New tag 1</t>
  </si>
  <si>
    <t>N</t>
  </si>
  <si>
    <t>Slots: add rows by copying the formula columns (I:O) down. date and slot_min (H) are inputs.</t>
  </si>
  <si>
    <t>New tag 2</t>
  </si>
  <si>
    <t>Tag and task names in Slots must match this sheet exactly.</t>
  </si>
  <si>
    <t>New tag 3</t>
  </si>
  <si>
    <t>Productive tags count toward tickets/hr. Tickets on other tags are ignored.</t>
  </si>
  <si>
    <t>Summary: set From/To for any day, week or month. Daily lists the days exported.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</si>
</sst>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##"/>
    <numFmt numFmtId="166" formatCode="hh:mm"/>
  </numFmts>
  <fonts count="5" x14ac:knownFonts="1">
    <font>
      <color theme="1"/>
      <family val="2"/>
      <scheme val="minor"/>
      <sz val="11"/>
      <name val="Calibri"/>
    </font>
    <font>
      <b/>
      <sz val="10"/>
      <name val="Arial"/>
    </font>
    <font>
      <color rgb="FF0000FF"/>
      <sz val="10"/>
      <name val="Arial"/>
    </font>
    <font>
      <sz val="10"/>
      <name val="Arial"/>
    </font>
    <font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165" fontId="3" fillId="0" borderId="0" xfId="0" applyNumberFormat="1" applyFont="1"/>
    <xf numFmtId="9" fontId="3" fillId="0" borderId="0" xfId="0" applyNumberFormat="1" applyFont="1"/>
    <xf numFmtId="0" fontId="1" fillId="2" borderId="0" xfId="0" applyFont="1" applyFill="1"/>
    <xf numFmtId="166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24" customWidth="1"/>
    <col min="2" max="2" width="13" customWidth="1"/>
    <col min="3" max="6" width="11" customWidth="1"/>
    <col min="7" max="7" width="12" customWidth="1"/>
  </cols>
  <sheetData>
    <row r="1" spans="1:2" x14ac:dyDescent="0.25">
      <c r="A1" s="1" t="s">
        <v>0</v>
      </c>
      <c r="B1" s="2">
        <v>46296</v>
      </c>
    </row>
    <row r="2" spans="1:2" x14ac:dyDescent="0.25">
      <c r="A2" s="1" t="s">
        <v>1</v>
      </c>
      <c r="B2" s="2">
        <v>46326</v>
      </c>
    </row>
    <row r="4" spans="1:2" x14ac:dyDescent="0.25">
      <c r="A4" s="3" t="s">
        <v>2</v>
      </c>
      <c r="B4" s="4">
        <f>SUMIFS(Slots!$N:$N,Slots!$A:$A,"&gt;="&amp;$B$1,Slots!$A:$A,"&lt;="&amp;$B$2)</f>
      </c>
    </row>
    <row r="5" spans="1:2" x14ac:dyDescent="0.25">
      <c r="A5" s="3" t="s">
        <v>3</v>
      </c>
      <c r="B5" s="5">
        <f>SUMIFS(Slots!$M:$M,Slots!$A:$A,"&gt;="&amp;$B$1,Slots!$A:$A,"&lt;="&amp;$B$2)</f>
      </c>
    </row>
    <row r="6" spans="1:2" x14ac:dyDescent="0.25">
      <c r="A6" s="3" t="s">
        <v>4</v>
      </c>
      <c r="B6" s="5">
        <f>IF(B5&gt;0,B4/B5,0)</f>
      </c>
    </row>
    <row r="7" spans="1:2" x14ac:dyDescent="0.25">
      <c r="A7" s="3" t="s">
        <v>5</v>
      </c>
      <c r="B7" s="5">
        <f>SUMIFS(Slots!$K:$K,Slots!$A:$A,"&gt;="&amp;$B$1,Slots!$A:$A,"&lt;="&amp;$B$2)</f>
      </c>
    </row>
    <row r="8" spans="1:2" x14ac:dyDescent="0.25">
      <c r="A8" s="3" t="s">
        <v>6</v>
      </c>
      <c r="B8" s="5">
        <f>SUMIFS(Slots!$L:$L,Slots!$A:$A,"&gt;="&amp;$B$1,Slots!$A:$A,"&lt;="&amp;$B$2)</f>
      </c>
    </row>
    <row r="9" spans="1:2" x14ac:dyDescent="0.25">
      <c r="A9" s="3" t="s">
        <v>7</v>
      </c>
      <c r="B9" s="5">
        <f>SUMIFS(Daily!$D:$D,Daily!$A:$A,"&gt;="&amp;$B$1,Daily!$A:$A,"&lt;="&amp;$B$2)</f>
      </c>
    </row>
    <row r="10" spans="1:1" x14ac:dyDescent="0.25">
      <c r="A10" s="6" t="s">
        <v>8</v>
      </c>
    </row>
    <row r="12" spans="1:1" x14ac:dyDescent="0.25">
      <c r="A12" s="1" t="s">
        <v>9</v>
      </c>
    </row>
    <row r="13" spans="1:7" x14ac:dyDescent="0.25">
      <c r="A13" s="1" t="s">
        <v>10</v>
      </c>
      <c r="B13" s="1" t="s">
        <v>2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</row>
    <row r="14" spans="1:7" x14ac:dyDescent="0.25">
      <c r="A14" s="3">
        <f>IF(Setup!$D$2="","",Setup!$D$2)</f>
      </c>
      <c r="B14" s="4">
        <f>IF($A14="","",SUMIFS(Slots!$N:$N,Slots!$A:$A,"&gt;="&amp;$B$1,Slots!$A:$A,"&lt;="&amp;$B$2,Slots!$E:$E,$A14))</f>
      </c>
      <c r="C14" s="5">
        <f>IF($A14="","",SUMIFS(Slots!$M:$M,Slots!$A:$A,"&gt;="&amp;$B$1,Slots!$A:$A,"&lt;="&amp;$B$2,Slots!$E:$E,$A14))</f>
      </c>
      <c r="D14" s="5">
        <f>IF($A14="","",IF(C14&gt;0,B14/C14,0))</f>
      </c>
      <c r="E14" s="7">
        <f>IF($A14="","",IF(N(Setup!$E$2)&gt;0,Setup!$E$2,""))</f>
      </c>
      <c r="F14" s="5">
        <f>IF($A14="","",IF(AND(N(E14)&gt;0,C14&gt;0),E14*C14,""))</f>
      </c>
      <c r="G14" s="8">
        <f>IF($A14="","",IF(F14="","",B14/F14))</f>
      </c>
    </row>
    <row r="15" spans="1:7" x14ac:dyDescent="0.25">
      <c r="A15" s="3">
        <f>IF(Setup!$D$3="","",Setup!$D$3)</f>
      </c>
      <c r="B15" s="4">
        <f>IF($A15="","",SUMIFS(Slots!$N:$N,Slots!$A:$A,"&gt;="&amp;$B$1,Slots!$A:$A,"&lt;="&amp;$B$2,Slots!$E:$E,$A15))</f>
      </c>
      <c r="C15" s="5">
        <f>IF($A15="","",SUMIFS(Slots!$M:$M,Slots!$A:$A,"&gt;="&amp;$B$1,Slots!$A:$A,"&lt;="&amp;$B$2,Slots!$E:$E,$A15))</f>
      </c>
      <c r="D15" s="5">
        <f>IF($A15="","",IF(C15&gt;0,B15/C15,0))</f>
      </c>
      <c r="E15" s="7">
        <f>IF($A15="","",IF(N(Setup!$E$3)&gt;0,Setup!$E$3,""))</f>
      </c>
      <c r="F15" s="5">
        <f>IF($A15="","",IF(AND(N(E15)&gt;0,C15&gt;0),E15*C15,""))</f>
      </c>
      <c r="G15" s="8">
        <f>IF($A15="","",IF(F15="","",B15/F15))</f>
      </c>
    </row>
    <row r="16" spans="1:7" x14ac:dyDescent="0.25">
      <c r="A16" s="3">
        <f>IF(Setup!$D$4="","",Setup!$D$4)</f>
      </c>
      <c r="B16" s="4">
        <f>IF($A16="","",SUMIFS(Slots!$N:$N,Slots!$A:$A,"&gt;="&amp;$B$1,Slots!$A:$A,"&lt;="&amp;$B$2,Slots!$E:$E,$A16))</f>
      </c>
      <c r="C16" s="5">
        <f>IF($A16="","",SUMIFS(Slots!$M:$M,Slots!$A:$A,"&gt;="&amp;$B$1,Slots!$A:$A,"&lt;="&amp;$B$2,Slots!$E:$E,$A16))</f>
      </c>
      <c r="D16" s="5">
        <f>IF($A16="","",IF(C16&gt;0,B16/C16,0))</f>
      </c>
      <c r="E16" s="7">
        <f>IF($A16="","",IF(N(Setup!$E$4)&gt;0,Setup!$E$4,""))</f>
      </c>
      <c r="F16" s="5">
        <f>IF($A16="","",IF(AND(N(E16)&gt;0,C16&gt;0),E16*C16,""))</f>
      </c>
      <c r="G16" s="8">
        <f>IF($A16="","",IF(F16="","",B16/F16))</f>
      </c>
    </row>
    <row r="17" spans="1:7" x14ac:dyDescent="0.25">
      <c r="A17" s="3">
        <f>IF(Setup!$D$5="","",Setup!$D$5)</f>
      </c>
      <c r="B17" s="4">
        <f>IF($A17="","",SUMIFS(Slots!$N:$N,Slots!$A:$A,"&gt;="&amp;$B$1,Slots!$A:$A,"&lt;="&amp;$B$2,Slots!$E:$E,$A17))</f>
      </c>
      <c r="C17" s="5">
        <f>IF($A17="","",SUMIFS(Slots!$M:$M,Slots!$A:$A,"&gt;="&amp;$B$1,Slots!$A:$A,"&lt;="&amp;$B$2,Slots!$E:$E,$A17))</f>
      </c>
      <c r="D17" s="5">
        <f>IF($A17="","",IF(C17&gt;0,B17/C17,0))</f>
      </c>
      <c r="E17" s="7">
        <f>IF($A17="","",IF(N(Setup!$E$5)&gt;0,Setup!$E$5,""))</f>
      </c>
      <c r="F17" s="5">
        <f>IF($A17="","",IF(AND(N(E17)&gt;0,C17&gt;0),E17*C17,""))</f>
      </c>
      <c r="G17" s="8">
        <f>IF($A17="","",IF(F17="","",B17/F17))</f>
      </c>
    </row>
    <row r="18" spans="1:7" x14ac:dyDescent="0.25">
      <c r="A18" s="3">
        <f>IF(Setup!$D$6="","",Setup!$D$6)</f>
      </c>
      <c r="B18" s="4">
        <f>IF($A18="","",SUMIFS(Slots!$N:$N,Slots!$A:$A,"&gt;="&amp;$B$1,Slots!$A:$A,"&lt;="&amp;$B$2,Slots!$E:$E,$A18))</f>
      </c>
      <c r="C18" s="5">
        <f>IF($A18="","",SUMIFS(Slots!$M:$M,Slots!$A:$A,"&gt;="&amp;$B$1,Slots!$A:$A,"&lt;="&amp;$B$2,Slots!$E:$E,$A18))</f>
      </c>
      <c r="D18" s="5">
        <f>IF($A18="","",IF(C18&gt;0,B18/C18,0))</f>
      </c>
      <c r="E18" s="7">
        <f>IF($A18="","",IF(N(Setup!$E$6)&gt;0,Setup!$E$6,""))</f>
      </c>
      <c r="F18" s="5">
        <f>IF($A18="","",IF(AND(N(E18)&gt;0,C18&gt;0),E18*C18,""))</f>
      </c>
      <c r="G18" s="8">
        <f>IF($A18="","",IF(F18="","",B18/F18))</f>
      </c>
    </row>
    <row r="19" spans="1:7" x14ac:dyDescent="0.25">
      <c r="A19" s="3">
        <f>IF(Setup!$D$7="","",Setup!$D$7)</f>
      </c>
      <c r="B19" s="4">
        <f>IF($A19="","",SUMIFS(Slots!$N:$N,Slots!$A:$A,"&gt;="&amp;$B$1,Slots!$A:$A,"&lt;="&amp;$B$2,Slots!$E:$E,$A19))</f>
      </c>
      <c r="C19" s="5">
        <f>IF($A19="","",SUMIFS(Slots!$M:$M,Slots!$A:$A,"&gt;="&amp;$B$1,Slots!$A:$A,"&lt;="&amp;$B$2,Slots!$E:$E,$A19))</f>
      </c>
      <c r="D19" s="5">
        <f>IF($A19="","",IF(C19&gt;0,B19/C19,0))</f>
      </c>
      <c r="E19" s="7">
        <f>IF($A19="","",IF(N(Setup!$E$7)&gt;0,Setup!$E$7,""))</f>
      </c>
      <c r="F19" s="5">
        <f>IF($A19="","",IF(AND(N(E19)&gt;0,C19&gt;0),E19*C19,""))</f>
      </c>
      <c r="G19" s="8">
        <f>IF($A19="","",IF(F19="","",B19/F19))</f>
      </c>
    </row>
    <row r="20" spans="1:7" x14ac:dyDescent="0.25">
      <c r="A20" s="3">
        <f>IF(Setup!$D$8="","",Setup!$D$8)</f>
      </c>
      <c r="B20" s="4">
        <f>IF($A20="","",SUMIFS(Slots!$N:$N,Slots!$A:$A,"&gt;="&amp;$B$1,Slots!$A:$A,"&lt;="&amp;$B$2,Slots!$E:$E,$A20))</f>
      </c>
      <c r="C20" s="5">
        <f>IF($A20="","",SUMIFS(Slots!$M:$M,Slots!$A:$A,"&gt;="&amp;$B$1,Slots!$A:$A,"&lt;="&amp;$B$2,Slots!$E:$E,$A20))</f>
      </c>
      <c r="D20" s="5">
        <f>IF($A20="","",IF(C20&gt;0,B20/C20,0))</f>
      </c>
      <c r="E20" s="7">
        <f>IF($A20="","",IF(N(Setup!$E$8)&gt;0,Setup!$E$8,""))</f>
      </c>
      <c r="F20" s="5">
        <f>IF($A20="","",IF(AND(N(E20)&gt;0,C20&gt;0),E20*C20,""))</f>
      </c>
      <c r="G20" s="8">
        <f>IF($A20="","",IF(F20="","",B20/F20))</f>
      </c>
    </row>
    <row r="21" spans="1:4" x14ac:dyDescent="0.25">
      <c r="A21" s="3" t="s">
        <v>16</v>
      </c>
      <c r="B21" s="4">
        <f>ROUND(B4-SUM(B14:B20),4)</f>
      </c>
      <c r="C21" s="5">
        <f>ROUND(B5-SUM(C14:C20),4)</f>
      </c>
      <c r="D21" s="5">
        <f>IF(C21&gt;0,B21/C21,0)</f>
      </c>
    </row>
    <row r="23" spans="1:1" x14ac:dyDescent="0.25">
      <c r="A23" s="1" t="s">
        <v>17</v>
      </c>
    </row>
    <row r="24" spans="1:3" x14ac:dyDescent="0.25">
      <c r="A24" s="1" t="s">
        <v>18</v>
      </c>
      <c r="B24" s="1" t="s">
        <v>11</v>
      </c>
      <c r="C24" s="1" t="s">
        <v>19</v>
      </c>
    </row>
    <row r="25" spans="1:3" x14ac:dyDescent="0.25">
      <c r="A25" s="3">
        <f>IF(Setup!$A$2="","",Setup!$A$2)</f>
      </c>
      <c r="B25" s="5">
        <f>IF($A25="","",SUMIFS(Slots!$K:$K,Slots!$A:$A,"&gt;="&amp;$B$1,Slots!$A:$A,"&lt;="&amp;$B$2,Slots!$D:$D,$A25))</f>
      </c>
      <c r="C25" s="8">
        <f>IF($A25="","",IF($B$7&gt;0,B25/$B$7,0))</f>
      </c>
    </row>
    <row r="26" spans="1:3" x14ac:dyDescent="0.25">
      <c r="A26" s="3">
        <f>IF(Setup!$A$3="","",Setup!$A$3)</f>
      </c>
      <c r="B26" s="5">
        <f>IF($A26="","",SUMIFS(Slots!$K:$K,Slots!$A:$A,"&gt;="&amp;$B$1,Slots!$A:$A,"&lt;="&amp;$B$2,Slots!$D:$D,$A26))</f>
      </c>
      <c r="C26" s="8">
        <f>IF($A26="","",IF($B$7&gt;0,B26/$B$7,0))</f>
      </c>
    </row>
    <row r="27" spans="1:3" x14ac:dyDescent="0.25">
      <c r="A27" s="3">
        <f>IF(Setup!$A$4="","",Setup!$A$4)</f>
      </c>
      <c r="B27" s="5">
        <f>IF($A27="","",SUMIFS(Slots!$K:$K,Slots!$A:$A,"&gt;="&amp;$B$1,Slots!$A:$A,"&lt;="&amp;$B$2,Slots!$D:$D,$A27))</f>
      </c>
      <c r="C27" s="8">
        <f>IF($A27="","",IF($B$7&gt;0,B27/$B$7,0))</f>
      </c>
    </row>
    <row r="28" spans="1:3" x14ac:dyDescent="0.25">
      <c r="A28" s="3">
        <f>IF(Setup!$A$5="","",Setup!$A$5)</f>
      </c>
      <c r="B28" s="5">
        <f>IF($A28="","",SUMIFS(Slots!$K:$K,Slots!$A:$A,"&gt;="&amp;$B$1,Slots!$A:$A,"&lt;="&amp;$B$2,Slots!$D:$D,$A28))</f>
      </c>
      <c r="C28" s="8">
        <f>IF($A28="","",IF($B$7&gt;0,B28/$B$7,0))</f>
      </c>
    </row>
    <row r="29" spans="1:3" x14ac:dyDescent="0.25">
      <c r="A29" s="3">
        <f>IF(Setup!$A$6="","",Setup!$A$6)</f>
      </c>
      <c r="B29" s="5">
        <f>IF($A29="","",SUMIFS(Slots!$K:$K,Slots!$A:$A,"&gt;="&amp;$B$1,Slots!$A:$A,"&lt;="&amp;$B$2,Slots!$D:$D,$A29))</f>
      </c>
      <c r="C29" s="8">
        <f>IF($A29="","",IF($B$7&gt;0,B29/$B$7,0))</f>
      </c>
    </row>
    <row r="30" spans="1:3" x14ac:dyDescent="0.25">
      <c r="A30" s="3">
        <f>IF(Setup!$A$7="","",Setup!$A$7)</f>
      </c>
      <c r="B30" s="5">
        <f>IF($A30="","",SUMIFS(Slots!$K:$K,Slots!$A:$A,"&gt;="&amp;$B$1,Slots!$A:$A,"&lt;="&amp;$B$2,Slots!$D:$D,$A30))</f>
      </c>
      <c r="C30" s="8">
        <f>IF($A30="","",IF($B$7&gt;0,B30/$B$7,0))</f>
      </c>
    </row>
    <row r="31" spans="1:3" x14ac:dyDescent="0.25">
      <c r="A31" s="3">
        <f>IF(Setup!$A$8="","",Setup!$A$8)</f>
      </c>
      <c r="B31" s="5">
        <f>IF($A31="","",SUMIFS(Slots!$K:$K,Slots!$A:$A,"&gt;="&amp;$B$1,Slots!$A:$A,"&lt;="&amp;$B$2,Slots!$D:$D,$A31))</f>
      </c>
      <c r="C31" s="8">
        <f>IF($A31="","",IF($B$7&gt;0,B31/$B$7,0))</f>
      </c>
    </row>
    <row r="32" spans="1:3" x14ac:dyDescent="0.25">
      <c r="A32" s="3">
        <f>IF(Setup!$A$9="","",Setup!$A$9)</f>
      </c>
      <c r="B32" s="5">
        <f>IF($A32="","",SUMIFS(Slots!$K:$K,Slots!$A:$A,"&gt;="&amp;$B$1,Slots!$A:$A,"&lt;="&amp;$B$2,Slots!$D:$D,$A32))</f>
      </c>
      <c r="C32" s="8">
        <f>IF($A32="","",IF($B$7&gt;0,B32/$B$7,0))</f>
      </c>
    </row>
    <row r="33" spans="1:3" x14ac:dyDescent="0.25">
      <c r="A33" s="3">
        <f>IF(Setup!$A$10="","",Setup!$A$10)</f>
      </c>
      <c r="B33" s="5">
        <f>IF($A33="","",SUMIFS(Slots!$K:$K,Slots!$A:$A,"&gt;="&amp;$B$1,Slots!$A:$A,"&lt;="&amp;$B$2,Slots!$D:$D,$A33))</f>
      </c>
      <c r="C33" s="8">
        <f>IF($A33="","",IF($B$7&gt;0,B33/$B$7,0))</f>
      </c>
    </row>
    <row r="34" spans="1:3" x14ac:dyDescent="0.25">
      <c r="A34" s="3">
        <f>IF(Setup!$A$11="","",Setup!$A$11)</f>
      </c>
      <c r="B34" s="5">
        <f>IF($A34="","",SUMIFS(Slots!$K:$K,Slots!$A:$A,"&gt;="&amp;$B$1,Slots!$A:$A,"&lt;="&amp;$B$2,Slots!$D:$D,$A34))</f>
      </c>
      <c r="C34" s="8">
        <f>IF($A34="","",IF($B$7&gt;0,B34/$B$7,0))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1" customWidth="1"/>
    <col min="4" max="4" width="15" customWidth="1"/>
    <col min="5" max="5" width="13" customWidth="1"/>
    <col min="6" max="6" width="16" customWidth="1"/>
    <col min="7" max="7" width="15" customWidth="1"/>
    <col min="9" max="18" width="16" customWidth="1"/>
  </cols>
  <sheetData>
    <row r="1" spans="1:18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</v>
      </c>
      <c r="I1" s="9" t="s">
        <v>27</v>
      </c>
      <c r="J1" s="9" t="str">
        <f>Setup!$D$2&amp;" tickets"</f>
        <v>SV tickets</v>
      </c>
      <c r="K1" s="9" t="str">
        <f>Setup!$D$3&amp;" tickets"</f>
        <v>CM tickets</v>
      </c>
      <c r="L1" s="9" t="str">
        <f>Setup!$D$2&amp;" quota %"</f>
        <v>SV quota %</v>
      </c>
      <c r="M1" s="9" t="str">
        <f>Setup!$D$3&amp;" quota %"</f>
        <v>CM quota %</v>
      </c>
      <c r="N1" s="9" t="str">
        <f>Setup!$A$2&amp;" hours"</f>
        <v>SV hours</v>
      </c>
      <c r="O1" s="9" t="str">
        <f>Setup!$A$3&amp;" hours"</f>
        <v>CM hours</v>
      </c>
      <c r="P1" s="9" t="str">
        <f>Setup!$A$4&amp;" hours"</f>
        <v>New tag 1 hours</v>
      </c>
      <c r="Q1" s="9" t="str">
        <f>Setup!$A$5&amp;" hours"</f>
        <v>New tag 2 hours</v>
      </c>
      <c r="R1" s="9" t="str">
        <f>Setup!$A$6&amp;" hours"</f>
        <v>New tag 3 hours</v>
      </c>
    </row>
    <row r="2" spans="1:18" x14ac:dyDescent="0.25">
      <c r="A2" s="2">
        <v>46296</v>
      </c>
      <c r="B2" s="10">
        <v>0.9583333333333334</v>
      </c>
      <c r="C2" s="10">
        <v>0.3333333333333333</v>
      </c>
      <c r="D2" s="5">
        <f>IF(E2&gt;0,IF(C2=B2,24,ROUND(MOD(C2-B2,1)*24,4)),0)</f>
      </c>
      <c r="E2" s="5">
        <f>SUMIFS(Slots!$K:$K,Slots!$A:$A,$A2)</f>
      </c>
      <c r="F2" s="5">
        <f>SUMIFS(Slots!$M:$M,Slots!$A:$A,$A2)</f>
      </c>
      <c r="G2" s="5">
        <f>SUMIFS(Slots!$L:$L,Slots!$A:$A,$A2)</f>
      </c>
      <c r="H2" s="4">
        <f>SUMIFS(Slots!$N:$N,Slots!$A:$A,$A2)</f>
      </c>
      <c r="I2" s="5">
        <f>IF(F2&gt;0,H2/F2,0)</f>
      </c>
      <c r="J2" s="4">
        <f>SUMIFS(Slots!$N:$N,Slots!$A:$A,$A2,Slots!$E:$E,Setup!$D$2)</f>
      </c>
      <c r="K2" s="4">
        <f>SUMIFS(Slots!$N:$N,Slots!$A:$A,$A2,Slots!$E:$E,Setup!$D$3)</f>
      </c>
      <c r="L2" s="8">
        <f>IF(AND(N(Setup!$E$2)&gt;0,SUMIFS(Slots!$M:$M,Slots!$A:$A,$A2,Slots!$E:$E,Setup!$D$2)&gt;0),J2/(Setup!$E$2*SUMIFS(Slots!$M:$M,Slots!$A:$A,$A2,Slots!$E:$E,Setup!$D$2)),"")</f>
      </c>
      <c r="M2" s="8">
        <f>IF(AND(N(Setup!$E$3)&gt;0,SUMIFS(Slots!$M:$M,Slots!$A:$A,$A2,Slots!$E:$E,Setup!$D$3)&gt;0),K2/(Setup!$E$3*SUMIFS(Slots!$M:$M,Slots!$A:$A,$A2,Slots!$E:$E,Setup!$D$3)),"")</f>
      </c>
      <c r="N2" s="5">
        <f>SUMIFS(Slots!$K:$K,Slots!$A:$A,$A2,Slots!$D:$D,Setup!$A$2)</f>
      </c>
      <c r="O2" s="5">
        <f>SUMIFS(Slots!$K:$K,Slots!$A:$A,$A2,Slots!$D:$D,Setup!$A$3)</f>
      </c>
      <c r="P2" s="5">
        <f>SUMIFS(Slots!$K:$K,Slots!$A:$A,$A2,Slots!$D:$D,Setup!$A$4)</f>
      </c>
      <c r="Q2" s="5">
        <f>SUMIFS(Slots!$K:$K,Slots!$A:$A,$A2,Slots!$D:$D,Setup!$A$5)</f>
      </c>
      <c r="R2" s="5">
        <f>SUMIFS(Slots!$K:$K,Slots!$A:$A,$A2,Slots!$D:$D,Setup!$A$6)</f>
      </c>
    </row>
    <row r="3" spans="1:18" x14ac:dyDescent="0.25">
      <c r="A3" s="2">
        <v>46297</v>
      </c>
      <c r="B3" s="10">
        <v>0.9583333333333334</v>
      </c>
      <c r="C3" s="10">
        <v>0.3333333333333333</v>
      </c>
      <c r="D3" s="5">
        <f>IF(E3&gt;0,IF(C3=B3,24,ROUND(MOD(C3-B3,1)*24,4)),0)</f>
      </c>
      <c r="E3" s="5">
        <f>SUMIFS(Slots!$K:$K,Slots!$A:$A,$A3)</f>
      </c>
      <c r="F3" s="5">
        <f>SUMIFS(Slots!$M:$M,Slots!$A:$A,$A3)</f>
      </c>
      <c r="G3" s="5">
        <f>SUMIFS(Slots!$L:$L,Slots!$A:$A,$A3)</f>
      </c>
      <c r="H3" s="4">
        <f>SUMIFS(Slots!$N:$N,Slots!$A:$A,$A3)</f>
      </c>
      <c r="I3" s="5">
        <f>IF(F3&gt;0,H3/F3,0)</f>
      </c>
      <c r="J3" s="4">
        <f>SUMIFS(Slots!$N:$N,Slots!$A:$A,$A3,Slots!$E:$E,Setup!$D$2)</f>
      </c>
      <c r="K3" s="4">
        <f>SUMIFS(Slots!$N:$N,Slots!$A:$A,$A3,Slots!$E:$E,Setup!$D$3)</f>
      </c>
      <c r="L3" s="8">
        <f>IF(AND(N(Setup!$E$2)&gt;0,SUMIFS(Slots!$M:$M,Slots!$A:$A,$A3,Slots!$E:$E,Setup!$D$2)&gt;0),J3/(Setup!$E$2*SUMIFS(Slots!$M:$M,Slots!$A:$A,$A3,Slots!$E:$E,Setup!$D$2)),"")</f>
      </c>
      <c r="M3" s="8">
        <f>IF(AND(N(Setup!$E$3)&gt;0,SUMIFS(Slots!$M:$M,Slots!$A:$A,$A3,Slots!$E:$E,Setup!$D$3)&gt;0),K3/(Setup!$E$3*SUMIFS(Slots!$M:$M,Slots!$A:$A,$A3,Slots!$E:$E,Setup!$D$3)),"")</f>
      </c>
      <c r="N3" s="5">
        <f>SUMIFS(Slots!$K:$K,Slots!$A:$A,$A3,Slots!$D:$D,Setup!$A$2)</f>
      </c>
      <c r="O3" s="5">
        <f>SUMIFS(Slots!$K:$K,Slots!$A:$A,$A3,Slots!$D:$D,Setup!$A$3)</f>
      </c>
      <c r="P3" s="5">
        <f>SUMIFS(Slots!$K:$K,Slots!$A:$A,$A3,Slots!$D:$D,Setup!$A$4)</f>
      </c>
      <c r="Q3" s="5">
        <f>SUMIFS(Slots!$K:$K,Slots!$A:$A,$A3,Slots!$D:$D,Setup!$A$5)</f>
      </c>
      <c r="R3" s="5">
        <f>SUMIFS(Slots!$K:$K,Slots!$A:$A,$A3,Slots!$D:$D,Setup!$A$6)</f>
      </c>
    </row>
    <row r="4" spans="1:18" x14ac:dyDescent="0.25">
      <c r="A4" s="2">
        <v>46298</v>
      </c>
      <c r="B4" s="10">
        <v>0.9583333333333334</v>
      </c>
      <c r="C4" s="10">
        <v>0.3333333333333333</v>
      </c>
      <c r="D4" s="5">
        <f>IF(E4&gt;0,IF(C4=B4,24,ROUND(MOD(C4-B4,1)*24,4)),0)</f>
      </c>
      <c r="E4" s="5">
        <f>SUMIFS(Slots!$K:$K,Slots!$A:$A,$A4)</f>
      </c>
      <c r="F4" s="5">
        <f>SUMIFS(Slots!$M:$M,Slots!$A:$A,$A4)</f>
      </c>
      <c r="G4" s="5">
        <f>SUMIFS(Slots!$L:$L,Slots!$A:$A,$A4)</f>
      </c>
      <c r="H4" s="4">
        <f>SUMIFS(Slots!$N:$N,Slots!$A:$A,$A4)</f>
      </c>
      <c r="I4" s="5">
        <f>IF(F4&gt;0,H4/F4,0)</f>
      </c>
      <c r="J4" s="4">
        <f>SUMIFS(Slots!$N:$N,Slots!$A:$A,$A4,Slots!$E:$E,Setup!$D$2)</f>
      </c>
      <c r="K4" s="4">
        <f>SUMIFS(Slots!$N:$N,Slots!$A:$A,$A4,Slots!$E:$E,Setup!$D$3)</f>
      </c>
      <c r="L4" s="8">
        <f>IF(AND(N(Setup!$E$2)&gt;0,SUMIFS(Slots!$M:$M,Slots!$A:$A,$A4,Slots!$E:$E,Setup!$D$2)&gt;0),J4/(Setup!$E$2*SUMIFS(Slots!$M:$M,Slots!$A:$A,$A4,Slots!$E:$E,Setup!$D$2)),"")</f>
      </c>
      <c r="M4" s="8">
        <f>IF(AND(N(Setup!$E$3)&gt;0,SUMIFS(Slots!$M:$M,Slots!$A:$A,$A4,Slots!$E:$E,Setup!$D$3)&gt;0),K4/(Setup!$E$3*SUMIFS(Slots!$M:$M,Slots!$A:$A,$A4,Slots!$E:$E,Setup!$D$3)),"")</f>
      </c>
      <c r="N4" s="5">
        <f>SUMIFS(Slots!$K:$K,Slots!$A:$A,$A4,Slots!$D:$D,Setup!$A$2)</f>
      </c>
      <c r="O4" s="5">
        <f>SUMIFS(Slots!$K:$K,Slots!$A:$A,$A4,Slots!$D:$D,Setup!$A$3)</f>
      </c>
      <c r="P4" s="5">
        <f>SUMIFS(Slots!$K:$K,Slots!$A:$A,$A4,Slots!$D:$D,Setup!$A$4)</f>
      </c>
      <c r="Q4" s="5">
        <f>SUMIFS(Slots!$K:$K,Slots!$A:$A,$A4,Slots!$D:$D,Setup!$A$5)</f>
      </c>
      <c r="R4" s="5">
        <f>SUMIFS(Slots!$K:$K,Slots!$A:$A,$A4,Slots!$D:$D,Setup!$A$6)</f>
      </c>
    </row>
    <row r="5" spans="1:18" x14ac:dyDescent="0.25">
      <c r="A5" s="2">
        <v>46299</v>
      </c>
      <c r="B5" s="10">
        <v>0.9583333333333334</v>
      </c>
      <c r="C5" s="10">
        <v>0.3333333333333333</v>
      </c>
      <c r="D5" s="5">
        <f>IF(E5&gt;0,IF(C5=B5,24,ROUND(MOD(C5-B5,1)*24,4)),0)</f>
      </c>
      <c r="E5" s="5">
        <f>SUMIFS(Slots!$K:$K,Slots!$A:$A,$A5)</f>
      </c>
      <c r="F5" s="5">
        <f>SUMIFS(Slots!$M:$M,Slots!$A:$A,$A5)</f>
      </c>
      <c r="G5" s="5">
        <f>SUMIFS(Slots!$L:$L,Slots!$A:$A,$A5)</f>
      </c>
      <c r="H5" s="4">
        <f>SUMIFS(Slots!$N:$N,Slots!$A:$A,$A5)</f>
      </c>
      <c r="I5" s="5">
        <f>IF(F5&gt;0,H5/F5,0)</f>
      </c>
      <c r="J5" s="4">
        <f>SUMIFS(Slots!$N:$N,Slots!$A:$A,$A5,Slots!$E:$E,Setup!$D$2)</f>
      </c>
      <c r="K5" s="4">
        <f>SUMIFS(Slots!$N:$N,Slots!$A:$A,$A5,Slots!$E:$E,Setup!$D$3)</f>
      </c>
      <c r="L5" s="8">
        <f>IF(AND(N(Setup!$E$2)&gt;0,SUMIFS(Slots!$M:$M,Slots!$A:$A,$A5,Slots!$E:$E,Setup!$D$2)&gt;0),J5/(Setup!$E$2*SUMIFS(Slots!$M:$M,Slots!$A:$A,$A5,Slots!$E:$E,Setup!$D$2)),"")</f>
      </c>
      <c r="M5" s="8">
        <f>IF(AND(N(Setup!$E$3)&gt;0,SUMIFS(Slots!$M:$M,Slots!$A:$A,$A5,Slots!$E:$E,Setup!$D$3)&gt;0),K5/(Setup!$E$3*SUMIFS(Slots!$M:$M,Slots!$A:$A,$A5,Slots!$E:$E,Setup!$D$3)),"")</f>
      </c>
      <c r="N5" s="5">
        <f>SUMIFS(Slots!$K:$K,Slots!$A:$A,$A5,Slots!$D:$D,Setup!$A$2)</f>
      </c>
      <c r="O5" s="5">
        <f>SUMIFS(Slots!$K:$K,Slots!$A:$A,$A5,Slots!$D:$D,Setup!$A$3)</f>
      </c>
      <c r="P5" s="5">
        <f>SUMIFS(Slots!$K:$K,Slots!$A:$A,$A5,Slots!$D:$D,Setup!$A$4)</f>
      </c>
      <c r="Q5" s="5">
        <f>SUMIFS(Slots!$K:$K,Slots!$A:$A,$A5,Slots!$D:$D,Setup!$A$5)</f>
      </c>
      <c r="R5" s="5">
        <f>SUMIFS(Slots!$K:$K,Slots!$A:$A,$A5,Slots!$D:$D,Setup!$A$6)</f>
      </c>
    </row>
    <row r="6" spans="1:18" x14ac:dyDescent="0.25">
      <c r="A6" s="2">
        <v>46300</v>
      </c>
      <c r="B6" s="10">
        <v>0.9583333333333334</v>
      </c>
      <c r="C6" s="10">
        <v>0.3333333333333333</v>
      </c>
      <c r="D6" s="5">
        <f>IF(E6&gt;0,IF(C6=B6,24,ROUND(MOD(C6-B6,1)*24,4)),0)</f>
      </c>
      <c r="E6" s="5">
        <f>SUMIFS(Slots!$K:$K,Slots!$A:$A,$A6)</f>
      </c>
      <c r="F6" s="5">
        <f>SUMIFS(Slots!$M:$M,Slots!$A:$A,$A6)</f>
      </c>
      <c r="G6" s="5">
        <f>SUMIFS(Slots!$L:$L,Slots!$A:$A,$A6)</f>
      </c>
      <c r="H6" s="4">
        <f>SUMIFS(Slots!$N:$N,Slots!$A:$A,$A6)</f>
      </c>
      <c r="I6" s="5">
        <f>IF(F6&gt;0,H6/F6,0)</f>
      </c>
      <c r="J6" s="4">
        <f>SUMIFS(Slots!$N:$N,Slots!$A:$A,$A6,Slots!$E:$E,Setup!$D$2)</f>
      </c>
      <c r="K6" s="4">
        <f>SUMIFS(Slots!$N:$N,Slots!$A:$A,$A6,Slots!$E:$E,Setup!$D$3)</f>
      </c>
      <c r="L6" s="8">
        <f>IF(AND(N(Setup!$E$2)&gt;0,SUMIFS(Slots!$M:$M,Slots!$A:$A,$A6,Slots!$E:$E,Setup!$D$2)&gt;0),J6/(Setup!$E$2*SUMIFS(Slots!$M:$M,Slots!$A:$A,$A6,Slots!$E:$E,Setup!$D$2)),"")</f>
      </c>
      <c r="M6" s="8">
        <f>IF(AND(N(Setup!$E$3)&gt;0,SUMIFS(Slots!$M:$M,Slots!$A:$A,$A6,Slots!$E:$E,Setup!$D$3)&gt;0),K6/(Setup!$E$3*SUMIFS(Slots!$M:$M,Slots!$A:$A,$A6,Slots!$E:$E,Setup!$D$3)),"")</f>
      </c>
      <c r="N6" s="5">
        <f>SUMIFS(Slots!$K:$K,Slots!$A:$A,$A6,Slots!$D:$D,Setup!$A$2)</f>
      </c>
      <c r="O6" s="5">
        <f>SUMIFS(Slots!$K:$K,Slots!$A:$A,$A6,Slots!$D:$D,Setup!$A$3)</f>
      </c>
      <c r="P6" s="5">
        <f>SUMIFS(Slots!$K:$K,Slots!$A:$A,$A6,Slots!$D:$D,Setup!$A$4)</f>
      </c>
      <c r="Q6" s="5">
        <f>SUMIFS(Slots!$K:$K,Slots!$A:$A,$A6,Slots!$D:$D,Setup!$A$5)</f>
      </c>
      <c r="R6" s="5">
        <f>SUMIFS(Slots!$K:$K,Slots!$A:$A,$A6,Slots!$D:$D,Setup!$A$6)</f>
      </c>
    </row>
    <row r="7" spans="1:18" x14ac:dyDescent="0.25">
      <c r="A7" s="2">
        <v>46301</v>
      </c>
      <c r="B7" s="10">
        <v>0.9583333333333334</v>
      </c>
      <c r="C7" s="10">
        <v>0.3333333333333333</v>
      </c>
      <c r="D7" s="5">
        <f>IF(E7&gt;0,IF(C7=B7,24,ROUND(MOD(C7-B7,1)*24,4)),0)</f>
      </c>
      <c r="E7" s="5">
        <f>SUMIFS(Slots!$K:$K,Slots!$A:$A,$A7)</f>
      </c>
      <c r="F7" s="5">
        <f>SUMIFS(Slots!$M:$M,Slots!$A:$A,$A7)</f>
      </c>
      <c r="G7" s="5">
        <f>SUMIFS(Slots!$L:$L,Slots!$A:$A,$A7)</f>
      </c>
      <c r="H7" s="4">
        <f>SUMIFS(Slots!$N:$N,Slots!$A:$A,$A7)</f>
      </c>
      <c r="I7" s="5">
        <f>IF(F7&gt;0,H7/F7,0)</f>
      </c>
      <c r="J7" s="4">
        <f>SUMIFS(Slots!$N:$N,Slots!$A:$A,$A7,Slots!$E:$E,Setup!$D$2)</f>
      </c>
      <c r="K7" s="4">
        <f>SUMIFS(Slots!$N:$N,Slots!$A:$A,$A7,Slots!$E:$E,Setup!$D$3)</f>
      </c>
      <c r="L7" s="8">
        <f>IF(AND(N(Setup!$E$2)&gt;0,SUMIFS(Slots!$M:$M,Slots!$A:$A,$A7,Slots!$E:$E,Setup!$D$2)&gt;0),J7/(Setup!$E$2*SUMIFS(Slots!$M:$M,Slots!$A:$A,$A7,Slots!$E:$E,Setup!$D$2)),"")</f>
      </c>
      <c r="M7" s="8">
        <f>IF(AND(N(Setup!$E$3)&gt;0,SUMIFS(Slots!$M:$M,Slots!$A:$A,$A7,Slots!$E:$E,Setup!$D$3)&gt;0),K7/(Setup!$E$3*SUMIFS(Slots!$M:$M,Slots!$A:$A,$A7,Slots!$E:$E,Setup!$D$3)),"")</f>
      </c>
      <c r="N7" s="5">
        <f>SUMIFS(Slots!$K:$K,Slots!$A:$A,$A7,Slots!$D:$D,Setup!$A$2)</f>
      </c>
      <c r="O7" s="5">
        <f>SUMIFS(Slots!$K:$K,Slots!$A:$A,$A7,Slots!$D:$D,Setup!$A$3)</f>
      </c>
      <c r="P7" s="5">
        <f>SUMIFS(Slots!$K:$K,Slots!$A:$A,$A7,Slots!$D:$D,Setup!$A$4)</f>
      </c>
      <c r="Q7" s="5">
        <f>SUMIFS(Slots!$K:$K,Slots!$A:$A,$A7,Slots!$D:$D,Setup!$A$5)</f>
      </c>
      <c r="R7" s="5">
        <f>SUMIFS(Slots!$K:$K,Slots!$A:$A,$A7,Slots!$D:$D,Setup!$A$6)</f>
      </c>
    </row>
    <row r="8" spans="1:18" x14ac:dyDescent="0.25">
      <c r="A8" s="2">
        <v>46302</v>
      </c>
      <c r="B8" s="10">
        <v>0.9583333333333334</v>
      </c>
      <c r="C8" s="10">
        <v>0.3333333333333333</v>
      </c>
      <c r="D8" s="5">
        <f>IF(E8&gt;0,IF(C8=B8,24,ROUND(MOD(C8-B8,1)*24,4)),0)</f>
      </c>
      <c r="E8" s="5">
        <f>SUMIFS(Slots!$K:$K,Slots!$A:$A,$A8)</f>
      </c>
      <c r="F8" s="5">
        <f>SUMIFS(Slots!$M:$M,Slots!$A:$A,$A8)</f>
      </c>
      <c r="G8" s="5">
        <f>SUMIFS(Slots!$L:$L,Slots!$A:$A,$A8)</f>
      </c>
      <c r="H8" s="4">
        <f>SUMIFS(Slots!$N:$N,Slots!$A:$A,$A8)</f>
      </c>
      <c r="I8" s="5">
        <f>IF(F8&gt;0,H8/F8,0)</f>
      </c>
      <c r="J8" s="4">
        <f>SUMIFS(Slots!$N:$N,Slots!$A:$A,$A8,Slots!$E:$E,Setup!$D$2)</f>
      </c>
      <c r="K8" s="4">
        <f>SUMIFS(Slots!$N:$N,Slots!$A:$A,$A8,Slots!$E:$E,Setup!$D$3)</f>
      </c>
      <c r="L8" s="8">
        <f>IF(AND(N(Setup!$E$2)&gt;0,SUMIFS(Slots!$M:$M,Slots!$A:$A,$A8,Slots!$E:$E,Setup!$D$2)&gt;0),J8/(Setup!$E$2*SUMIFS(Slots!$M:$M,Slots!$A:$A,$A8,Slots!$E:$E,Setup!$D$2)),"")</f>
      </c>
      <c r="M8" s="8">
        <f>IF(AND(N(Setup!$E$3)&gt;0,SUMIFS(Slots!$M:$M,Slots!$A:$A,$A8,Slots!$E:$E,Setup!$D$3)&gt;0),K8/(Setup!$E$3*SUMIFS(Slots!$M:$M,Slots!$A:$A,$A8,Slots!$E:$E,Setup!$D$3)),"")</f>
      </c>
      <c r="N8" s="5">
        <f>SUMIFS(Slots!$K:$K,Slots!$A:$A,$A8,Slots!$D:$D,Setup!$A$2)</f>
      </c>
      <c r="O8" s="5">
        <f>SUMIFS(Slots!$K:$K,Slots!$A:$A,$A8,Slots!$D:$D,Setup!$A$3)</f>
      </c>
      <c r="P8" s="5">
        <f>SUMIFS(Slots!$K:$K,Slots!$A:$A,$A8,Slots!$D:$D,Setup!$A$4)</f>
      </c>
      <c r="Q8" s="5">
        <f>SUMIFS(Slots!$K:$K,Slots!$A:$A,$A8,Slots!$D:$D,Setup!$A$5)</f>
      </c>
      <c r="R8" s="5">
        <f>SUMIFS(Slots!$K:$K,Slots!$A:$A,$A8,Slots!$D:$D,Setup!$A$6)</f>
      </c>
    </row>
    <row r="9" spans="1:18" x14ac:dyDescent="0.25">
      <c r="A9" s="2">
        <v>46303</v>
      </c>
      <c r="B9" s="10">
        <v>0.9583333333333334</v>
      </c>
      <c r="C9" s="10">
        <v>0.3333333333333333</v>
      </c>
      <c r="D9" s="5">
        <f>IF(E9&gt;0,IF(C9=B9,24,ROUND(MOD(C9-B9,1)*24,4)),0)</f>
      </c>
      <c r="E9" s="5">
        <f>SUMIFS(Slots!$K:$K,Slots!$A:$A,$A9)</f>
      </c>
      <c r="F9" s="5">
        <f>SUMIFS(Slots!$M:$M,Slots!$A:$A,$A9)</f>
      </c>
      <c r="G9" s="5">
        <f>SUMIFS(Slots!$L:$L,Slots!$A:$A,$A9)</f>
      </c>
      <c r="H9" s="4">
        <f>SUMIFS(Slots!$N:$N,Slots!$A:$A,$A9)</f>
      </c>
      <c r="I9" s="5">
        <f>IF(F9&gt;0,H9/F9,0)</f>
      </c>
      <c r="J9" s="4">
        <f>SUMIFS(Slots!$N:$N,Slots!$A:$A,$A9,Slots!$E:$E,Setup!$D$2)</f>
      </c>
      <c r="K9" s="4">
        <f>SUMIFS(Slots!$N:$N,Slots!$A:$A,$A9,Slots!$E:$E,Setup!$D$3)</f>
      </c>
      <c r="L9" s="8">
        <f>IF(AND(N(Setup!$E$2)&gt;0,SUMIFS(Slots!$M:$M,Slots!$A:$A,$A9,Slots!$E:$E,Setup!$D$2)&gt;0),J9/(Setup!$E$2*SUMIFS(Slots!$M:$M,Slots!$A:$A,$A9,Slots!$E:$E,Setup!$D$2)),"")</f>
      </c>
      <c r="M9" s="8">
        <f>IF(AND(N(Setup!$E$3)&gt;0,SUMIFS(Slots!$M:$M,Slots!$A:$A,$A9,Slots!$E:$E,Setup!$D$3)&gt;0),K9/(Setup!$E$3*SUMIFS(Slots!$M:$M,Slots!$A:$A,$A9,Slots!$E:$E,Setup!$D$3)),"")</f>
      </c>
      <c r="N9" s="5">
        <f>SUMIFS(Slots!$K:$K,Slots!$A:$A,$A9,Slots!$D:$D,Setup!$A$2)</f>
      </c>
      <c r="O9" s="5">
        <f>SUMIFS(Slots!$K:$K,Slots!$A:$A,$A9,Slots!$D:$D,Setup!$A$3)</f>
      </c>
      <c r="P9" s="5">
        <f>SUMIFS(Slots!$K:$K,Slots!$A:$A,$A9,Slots!$D:$D,Setup!$A$4)</f>
      </c>
      <c r="Q9" s="5">
        <f>SUMIFS(Slots!$K:$K,Slots!$A:$A,$A9,Slots!$D:$D,Setup!$A$5)</f>
      </c>
      <c r="R9" s="5">
        <f>SUMIFS(Slots!$K:$K,Slots!$A:$A,$A9,Slots!$D:$D,Setup!$A$6)</f>
      </c>
    </row>
    <row r="10" spans="1:18" x14ac:dyDescent="0.25">
      <c r="A10" s="2">
        <v>46304</v>
      </c>
      <c r="B10" s="10">
        <v>0.9583333333333334</v>
      </c>
      <c r="C10" s="10">
        <v>0.3333333333333333</v>
      </c>
      <c r="D10" s="5">
        <f>IF(E10&gt;0,IF(C10=B10,24,ROUND(MOD(C10-B10,1)*24,4)),0)</f>
      </c>
      <c r="E10" s="5">
        <f>SUMIFS(Slots!$K:$K,Slots!$A:$A,$A10)</f>
      </c>
      <c r="F10" s="5">
        <f>SUMIFS(Slots!$M:$M,Slots!$A:$A,$A10)</f>
      </c>
      <c r="G10" s="5">
        <f>SUMIFS(Slots!$L:$L,Slots!$A:$A,$A10)</f>
      </c>
      <c r="H10" s="4">
        <f>SUMIFS(Slots!$N:$N,Slots!$A:$A,$A10)</f>
      </c>
      <c r="I10" s="5">
        <f>IF(F10&gt;0,H10/F10,0)</f>
      </c>
      <c r="J10" s="4">
        <f>SUMIFS(Slots!$N:$N,Slots!$A:$A,$A10,Slots!$E:$E,Setup!$D$2)</f>
      </c>
      <c r="K10" s="4">
        <f>SUMIFS(Slots!$N:$N,Slots!$A:$A,$A10,Slots!$E:$E,Setup!$D$3)</f>
      </c>
      <c r="L10" s="8">
        <f>IF(AND(N(Setup!$E$2)&gt;0,SUMIFS(Slots!$M:$M,Slots!$A:$A,$A10,Slots!$E:$E,Setup!$D$2)&gt;0),J10/(Setup!$E$2*SUMIFS(Slots!$M:$M,Slots!$A:$A,$A10,Slots!$E:$E,Setup!$D$2)),"")</f>
      </c>
      <c r="M10" s="8">
        <f>IF(AND(N(Setup!$E$3)&gt;0,SUMIFS(Slots!$M:$M,Slots!$A:$A,$A10,Slots!$E:$E,Setup!$D$3)&gt;0),K10/(Setup!$E$3*SUMIFS(Slots!$M:$M,Slots!$A:$A,$A10,Slots!$E:$E,Setup!$D$3)),"")</f>
      </c>
      <c r="N10" s="5">
        <f>SUMIFS(Slots!$K:$K,Slots!$A:$A,$A10,Slots!$D:$D,Setup!$A$2)</f>
      </c>
      <c r="O10" s="5">
        <f>SUMIFS(Slots!$K:$K,Slots!$A:$A,$A10,Slots!$D:$D,Setup!$A$3)</f>
      </c>
      <c r="P10" s="5">
        <f>SUMIFS(Slots!$K:$K,Slots!$A:$A,$A10,Slots!$D:$D,Setup!$A$4)</f>
      </c>
      <c r="Q10" s="5">
        <f>SUMIFS(Slots!$K:$K,Slots!$A:$A,$A10,Slots!$D:$D,Setup!$A$5)</f>
      </c>
      <c r="R10" s="5">
        <f>SUMIFS(Slots!$K:$K,Slots!$A:$A,$A10,Slots!$D:$D,Setup!$A$6)</f>
      </c>
    </row>
    <row r="11" spans="1:18" x14ac:dyDescent="0.25">
      <c r="A11" s="2">
        <v>46305</v>
      </c>
      <c r="B11" s="10">
        <v>0.9583333333333334</v>
      </c>
      <c r="C11" s="10">
        <v>0.3333333333333333</v>
      </c>
      <c r="D11" s="5">
        <f>IF(E11&gt;0,IF(C11=B11,24,ROUND(MOD(C11-B11,1)*24,4)),0)</f>
      </c>
      <c r="E11" s="5">
        <f>SUMIFS(Slots!$K:$K,Slots!$A:$A,$A11)</f>
      </c>
      <c r="F11" s="5">
        <f>SUMIFS(Slots!$M:$M,Slots!$A:$A,$A11)</f>
      </c>
      <c r="G11" s="5">
        <f>SUMIFS(Slots!$L:$L,Slots!$A:$A,$A11)</f>
      </c>
      <c r="H11" s="4">
        <f>SUMIFS(Slots!$N:$N,Slots!$A:$A,$A11)</f>
      </c>
      <c r="I11" s="5">
        <f>IF(F11&gt;0,H11/F11,0)</f>
      </c>
      <c r="J11" s="4">
        <f>SUMIFS(Slots!$N:$N,Slots!$A:$A,$A11,Slots!$E:$E,Setup!$D$2)</f>
      </c>
      <c r="K11" s="4">
        <f>SUMIFS(Slots!$N:$N,Slots!$A:$A,$A11,Slots!$E:$E,Setup!$D$3)</f>
      </c>
      <c r="L11" s="8">
        <f>IF(AND(N(Setup!$E$2)&gt;0,SUMIFS(Slots!$M:$M,Slots!$A:$A,$A11,Slots!$E:$E,Setup!$D$2)&gt;0),J11/(Setup!$E$2*SUMIFS(Slots!$M:$M,Slots!$A:$A,$A11,Slots!$E:$E,Setup!$D$2)),"")</f>
      </c>
      <c r="M11" s="8">
        <f>IF(AND(N(Setup!$E$3)&gt;0,SUMIFS(Slots!$M:$M,Slots!$A:$A,$A11,Slots!$E:$E,Setup!$D$3)&gt;0),K11/(Setup!$E$3*SUMIFS(Slots!$M:$M,Slots!$A:$A,$A11,Slots!$E:$E,Setup!$D$3)),"")</f>
      </c>
      <c r="N11" s="5">
        <f>SUMIFS(Slots!$K:$K,Slots!$A:$A,$A11,Slots!$D:$D,Setup!$A$2)</f>
      </c>
      <c r="O11" s="5">
        <f>SUMIFS(Slots!$K:$K,Slots!$A:$A,$A11,Slots!$D:$D,Setup!$A$3)</f>
      </c>
      <c r="P11" s="5">
        <f>SUMIFS(Slots!$K:$K,Slots!$A:$A,$A11,Slots!$D:$D,Setup!$A$4)</f>
      </c>
      <c r="Q11" s="5">
        <f>SUMIFS(Slots!$K:$K,Slots!$A:$A,$A11,Slots!$D:$D,Setup!$A$5)</f>
      </c>
      <c r="R11" s="5">
        <f>SUMIFS(Slots!$K:$K,Slots!$A:$A,$A11,Slots!$D:$D,Setup!$A$6)</f>
      </c>
    </row>
    <row r="12" spans="1:18" x14ac:dyDescent="0.25">
      <c r="A12" s="2">
        <v>46306</v>
      </c>
      <c r="B12" s="10">
        <v>0.9583333333333334</v>
      </c>
      <c r="C12" s="10">
        <v>0.3333333333333333</v>
      </c>
      <c r="D12" s="5">
        <f>IF(E12&gt;0,IF(C12=B12,24,ROUND(MOD(C12-B12,1)*24,4)),0)</f>
      </c>
      <c r="E12" s="5">
        <f>SUMIFS(Slots!$K:$K,Slots!$A:$A,$A12)</f>
      </c>
      <c r="F12" s="5">
        <f>SUMIFS(Slots!$M:$M,Slots!$A:$A,$A12)</f>
      </c>
      <c r="G12" s="5">
        <f>SUMIFS(Slots!$L:$L,Slots!$A:$A,$A12)</f>
      </c>
      <c r="H12" s="4">
        <f>SUMIFS(Slots!$N:$N,Slots!$A:$A,$A12)</f>
      </c>
      <c r="I12" s="5">
        <f>IF(F12&gt;0,H12/F12,0)</f>
      </c>
      <c r="J12" s="4">
        <f>SUMIFS(Slots!$N:$N,Slots!$A:$A,$A12,Slots!$E:$E,Setup!$D$2)</f>
      </c>
      <c r="K12" s="4">
        <f>SUMIFS(Slots!$N:$N,Slots!$A:$A,$A12,Slots!$E:$E,Setup!$D$3)</f>
      </c>
      <c r="L12" s="8">
        <f>IF(AND(N(Setup!$E$2)&gt;0,SUMIFS(Slots!$M:$M,Slots!$A:$A,$A12,Slots!$E:$E,Setup!$D$2)&gt;0),J12/(Setup!$E$2*SUMIFS(Slots!$M:$M,Slots!$A:$A,$A12,Slots!$E:$E,Setup!$D$2)),"")</f>
      </c>
      <c r="M12" s="8">
        <f>IF(AND(N(Setup!$E$3)&gt;0,SUMIFS(Slots!$M:$M,Slots!$A:$A,$A12,Slots!$E:$E,Setup!$D$3)&gt;0),K12/(Setup!$E$3*SUMIFS(Slots!$M:$M,Slots!$A:$A,$A12,Slots!$E:$E,Setup!$D$3)),"")</f>
      </c>
      <c r="N12" s="5">
        <f>SUMIFS(Slots!$K:$K,Slots!$A:$A,$A12,Slots!$D:$D,Setup!$A$2)</f>
      </c>
      <c r="O12" s="5">
        <f>SUMIFS(Slots!$K:$K,Slots!$A:$A,$A12,Slots!$D:$D,Setup!$A$3)</f>
      </c>
      <c r="P12" s="5">
        <f>SUMIFS(Slots!$K:$K,Slots!$A:$A,$A12,Slots!$D:$D,Setup!$A$4)</f>
      </c>
      <c r="Q12" s="5">
        <f>SUMIFS(Slots!$K:$K,Slots!$A:$A,$A12,Slots!$D:$D,Setup!$A$5)</f>
      </c>
      <c r="R12" s="5">
        <f>SUMIFS(Slots!$K:$K,Slots!$A:$A,$A12,Slots!$D:$D,Setup!$A$6)</f>
      </c>
    </row>
    <row r="13" spans="1:18" x14ac:dyDescent="0.25">
      <c r="A13" s="2">
        <v>46307</v>
      </c>
      <c r="B13" s="10">
        <v>0.9583333333333334</v>
      </c>
      <c r="C13" s="10">
        <v>0.3333333333333333</v>
      </c>
      <c r="D13" s="5">
        <f>IF(E13&gt;0,IF(C13=B13,24,ROUND(MOD(C13-B13,1)*24,4)),0)</f>
      </c>
      <c r="E13" s="5">
        <f>SUMIFS(Slots!$K:$K,Slots!$A:$A,$A13)</f>
      </c>
      <c r="F13" s="5">
        <f>SUMIFS(Slots!$M:$M,Slots!$A:$A,$A13)</f>
      </c>
      <c r="G13" s="5">
        <f>SUMIFS(Slots!$L:$L,Slots!$A:$A,$A13)</f>
      </c>
      <c r="H13" s="4">
        <f>SUMIFS(Slots!$N:$N,Slots!$A:$A,$A13)</f>
      </c>
      <c r="I13" s="5">
        <f>IF(F13&gt;0,H13/F13,0)</f>
      </c>
      <c r="J13" s="4">
        <f>SUMIFS(Slots!$N:$N,Slots!$A:$A,$A13,Slots!$E:$E,Setup!$D$2)</f>
      </c>
      <c r="K13" s="4">
        <f>SUMIFS(Slots!$N:$N,Slots!$A:$A,$A13,Slots!$E:$E,Setup!$D$3)</f>
      </c>
      <c r="L13" s="8">
        <f>IF(AND(N(Setup!$E$2)&gt;0,SUMIFS(Slots!$M:$M,Slots!$A:$A,$A13,Slots!$E:$E,Setup!$D$2)&gt;0),J13/(Setup!$E$2*SUMIFS(Slots!$M:$M,Slots!$A:$A,$A13,Slots!$E:$E,Setup!$D$2)),"")</f>
      </c>
      <c r="M13" s="8">
        <f>IF(AND(N(Setup!$E$3)&gt;0,SUMIFS(Slots!$M:$M,Slots!$A:$A,$A13,Slots!$E:$E,Setup!$D$3)&gt;0),K13/(Setup!$E$3*SUMIFS(Slots!$M:$M,Slots!$A:$A,$A13,Slots!$E:$E,Setup!$D$3)),"")</f>
      </c>
      <c r="N13" s="5">
        <f>SUMIFS(Slots!$K:$K,Slots!$A:$A,$A13,Slots!$D:$D,Setup!$A$2)</f>
      </c>
      <c r="O13" s="5">
        <f>SUMIFS(Slots!$K:$K,Slots!$A:$A,$A13,Slots!$D:$D,Setup!$A$3)</f>
      </c>
      <c r="P13" s="5">
        <f>SUMIFS(Slots!$K:$K,Slots!$A:$A,$A13,Slots!$D:$D,Setup!$A$4)</f>
      </c>
      <c r="Q13" s="5">
        <f>SUMIFS(Slots!$K:$K,Slots!$A:$A,$A13,Slots!$D:$D,Setup!$A$5)</f>
      </c>
      <c r="R13" s="5">
        <f>SUMIFS(Slots!$K:$K,Slots!$A:$A,$A13,Slots!$D:$D,Setup!$A$6)</f>
      </c>
    </row>
    <row r="14" spans="1:18" x14ac:dyDescent="0.25">
      <c r="A14" s="2">
        <v>46308</v>
      </c>
      <c r="B14" s="10">
        <v>0.9583333333333334</v>
      </c>
      <c r="C14" s="10">
        <v>0.3333333333333333</v>
      </c>
      <c r="D14" s="5">
        <f>IF(E14&gt;0,IF(C14=B14,24,ROUND(MOD(C14-B14,1)*24,4)),0)</f>
      </c>
      <c r="E14" s="5">
        <f>SUMIFS(Slots!$K:$K,Slots!$A:$A,$A14)</f>
      </c>
      <c r="F14" s="5">
        <f>SUMIFS(Slots!$M:$M,Slots!$A:$A,$A14)</f>
      </c>
      <c r="G14" s="5">
        <f>SUMIFS(Slots!$L:$L,Slots!$A:$A,$A14)</f>
      </c>
      <c r="H14" s="4">
        <f>SUMIFS(Slots!$N:$N,Slots!$A:$A,$A14)</f>
      </c>
      <c r="I14" s="5">
        <f>IF(F14&gt;0,H14/F14,0)</f>
      </c>
      <c r="J14" s="4">
        <f>SUMIFS(Slots!$N:$N,Slots!$A:$A,$A14,Slots!$E:$E,Setup!$D$2)</f>
      </c>
      <c r="K14" s="4">
        <f>SUMIFS(Slots!$N:$N,Slots!$A:$A,$A14,Slots!$E:$E,Setup!$D$3)</f>
      </c>
      <c r="L14" s="8">
        <f>IF(AND(N(Setup!$E$2)&gt;0,SUMIFS(Slots!$M:$M,Slots!$A:$A,$A14,Slots!$E:$E,Setup!$D$2)&gt;0),J14/(Setup!$E$2*SUMIFS(Slots!$M:$M,Slots!$A:$A,$A14,Slots!$E:$E,Setup!$D$2)),"")</f>
      </c>
      <c r="M14" s="8">
        <f>IF(AND(N(Setup!$E$3)&gt;0,SUMIFS(Slots!$M:$M,Slots!$A:$A,$A14,Slots!$E:$E,Setup!$D$3)&gt;0),K14/(Setup!$E$3*SUMIFS(Slots!$M:$M,Slots!$A:$A,$A14,Slots!$E:$E,Setup!$D$3)),"")</f>
      </c>
      <c r="N14" s="5">
        <f>SUMIFS(Slots!$K:$K,Slots!$A:$A,$A14,Slots!$D:$D,Setup!$A$2)</f>
      </c>
      <c r="O14" s="5">
        <f>SUMIFS(Slots!$K:$K,Slots!$A:$A,$A14,Slots!$D:$D,Setup!$A$3)</f>
      </c>
      <c r="P14" s="5">
        <f>SUMIFS(Slots!$K:$K,Slots!$A:$A,$A14,Slots!$D:$D,Setup!$A$4)</f>
      </c>
      <c r="Q14" s="5">
        <f>SUMIFS(Slots!$K:$K,Slots!$A:$A,$A14,Slots!$D:$D,Setup!$A$5)</f>
      </c>
      <c r="R14" s="5">
        <f>SUMIFS(Slots!$K:$K,Slots!$A:$A,$A14,Slots!$D:$D,Setup!$A$6)</f>
      </c>
    </row>
    <row r="15" spans="1:18" x14ac:dyDescent="0.25">
      <c r="A15" s="2">
        <v>46309</v>
      </c>
      <c r="B15" s="10">
        <v>0.9583333333333334</v>
      </c>
      <c r="C15" s="10">
        <v>0.3333333333333333</v>
      </c>
      <c r="D15" s="5">
        <f>IF(E15&gt;0,IF(C15=B15,24,ROUND(MOD(C15-B15,1)*24,4)),0)</f>
      </c>
      <c r="E15" s="5">
        <f>SUMIFS(Slots!$K:$K,Slots!$A:$A,$A15)</f>
      </c>
      <c r="F15" s="5">
        <f>SUMIFS(Slots!$M:$M,Slots!$A:$A,$A15)</f>
      </c>
      <c r="G15" s="5">
        <f>SUMIFS(Slots!$L:$L,Slots!$A:$A,$A15)</f>
      </c>
      <c r="H15" s="4">
        <f>SUMIFS(Slots!$N:$N,Slots!$A:$A,$A15)</f>
      </c>
      <c r="I15" s="5">
        <f>IF(F15&gt;0,H15/F15,0)</f>
      </c>
      <c r="J15" s="4">
        <f>SUMIFS(Slots!$N:$N,Slots!$A:$A,$A15,Slots!$E:$E,Setup!$D$2)</f>
      </c>
      <c r="K15" s="4">
        <f>SUMIFS(Slots!$N:$N,Slots!$A:$A,$A15,Slots!$E:$E,Setup!$D$3)</f>
      </c>
      <c r="L15" s="8">
        <f>IF(AND(N(Setup!$E$2)&gt;0,SUMIFS(Slots!$M:$M,Slots!$A:$A,$A15,Slots!$E:$E,Setup!$D$2)&gt;0),J15/(Setup!$E$2*SUMIFS(Slots!$M:$M,Slots!$A:$A,$A15,Slots!$E:$E,Setup!$D$2)),"")</f>
      </c>
      <c r="M15" s="8">
        <f>IF(AND(N(Setup!$E$3)&gt;0,SUMIFS(Slots!$M:$M,Slots!$A:$A,$A15,Slots!$E:$E,Setup!$D$3)&gt;0),K15/(Setup!$E$3*SUMIFS(Slots!$M:$M,Slots!$A:$A,$A15,Slots!$E:$E,Setup!$D$3)),"")</f>
      </c>
      <c r="N15" s="5">
        <f>SUMIFS(Slots!$K:$K,Slots!$A:$A,$A15,Slots!$D:$D,Setup!$A$2)</f>
      </c>
      <c r="O15" s="5">
        <f>SUMIFS(Slots!$K:$K,Slots!$A:$A,$A15,Slots!$D:$D,Setup!$A$3)</f>
      </c>
      <c r="P15" s="5">
        <f>SUMIFS(Slots!$K:$K,Slots!$A:$A,$A15,Slots!$D:$D,Setup!$A$4)</f>
      </c>
      <c r="Q15" s="5">
        <f>SUMIFS(Slots!$K:$K,Slots!$A:$A,$A15,Slots!$D:$D,Setup!$A$5)</f>
      </c>
      <c r="R15" s="5">
        <f>SUMIFS(Slots!$K:$K,Slots!$A:$A,$A15,Slots!$D:$D,Setup!$A$6)</f>
      </c>
    </row>
    <row r="16" spans="1:18" x14ac:dyDescent="0.25">
      <c r="A16" s="2">
        <v>46310</v>
      </c>
      <c r="B16" s="10">
        <v>0.9583333333333334</v>
      </c>
      <c r="C16" s="10">
        <v>0.3333333333333333</v>
      </c>
      <c r="D16" s="5">
        <f>IF(E16&gt;0,IF(C16=B16,24,ROUND(MOD(C16-B16,1)*24,4)),0)</f>
      </c>
      <c r="E16" s="5">
        <f>SUMIFS(Slots!$K:$K,Slots!$A:$A,$A16)</f>
      </c>
      <c r="F16" s="5">
        <f>SUMIFS(Slots!$M:$M,Slots!$A:$A,$A16)</f>
      </c>
      <c r="G16" s="5">
        <f>SUMIFS(Slots!$L:$L,Slots!$A:$A,$A16)</f>
      </c>
      <c r="H16" s="4">
        <f>SUMIFS(Slots!$N:$N,Slots!$A:$A,$A16)</f>
      </c>
      <c r="I16" s="5">
        <f>IF(F16&gt;0,H16/F16,0)</f>
      </c>
      <c r="J16" s="4">
        <f>SUMIFS(Slots!$N:$N,Slots!$A:$A,$A16,Slots!$E:$E,Setup!$D$2)</f>
      </c>
      <c r="K16" s="4">
        <f>SUMIFS(Slots!$N:$N,Slots!$A:$A,$A16,Slots!$E:$E,Setup!$D$3)</f>
      </c>
      <c r="L16" s="8">
        <f>IF(AND(N(Setup!$E$2)&gt;0,SUMIFS(Slots!$M:$M,Slots!$A:$A,$A16,Slots!$E:$E,Setup!$D$2)&gt;0),J16/(Setup!$E$2*SUMIFS(Slots!$M:$M,Slots!$A:$A,$A16,Slots!$E:$E,Setup!$D$2)),"")</f>
      </c>
      <c r="M16" s="8">
        <f>IF(AND(N(Setup!$E$3)&gt;0,SUMIFS(Slots!$M:$M,Slots!$A:$A,$A16,Slots!$E:$E,Setup!$D$3)&gt;0),K16/(Setup!$E$3*SUMIFS(Slots!$M:$M,Slots!$A:$A,$A16,Slots!$E:$E,Setup!$D$3)),"")</f>
      </c>
      <c r="N16" s="5">
        <f>SUMIFS(Slots!$K:$K,Slots!$A:$A,$A16,Slots!$D:$D,Setup!$A$2)</f>
      </c>
      <c r="O16" s="5">
        <f>SUMIFS(Slots!$K:$K,Slots!$A:$A,$A16,Slots!$D:$D,Setup!$A$3)</f>
      </c>
      <c r="P16" s="5">
        <f>SUMIFS(Slots!$K:$K,Slots!$A:$A,$A16,Slots!$D:$D,Setup!$A$4)</f>
      </c>
      <c r="Q16" s="5">
        <f>SUMIFS(Slots!$K:$K,Slots!$A:$A,$A16,Slots!$D:$D,Setup!$A$5)</f>
      </c>
      <c r="R16" s="5">
        <f>SUMIFS(Slots!$K:$K,Slots!$A:$A,$A16,Slots!$D:$D,Setup!$A$6)</f>
      </c>
    </row>
    <row r="17" spans="1:18" x14ac:dyDescent="0.25">
      <c r="A17" s="2">
        <v>46311</v>
      </c>
      <c r="B17" s="10">
        <v>0.9583333333333334</v>
      </c>
      <c r="C17" s="10">
        <v>0.3333333333333333</v>
      </c>
      <c r="D17" s="5">
        <f>IF(E17&gt;0,IF(C17=B17,24,ROUND(MOD(C17-B17,1)*24,4)),0)</f>
      </c>
      <c r="E17" s="5">
        <f>SUMIFS(Slots!$K:$K,Slots!$A:$A,$A17)</f>
      </c>
      <c r="F17" s="5">
        <f>SUMIFS(Slots!$M:$M,Slots!$A:$A,$A17)</f>
      </c>
      <c r="G17" s="5">
        <f>SUMIFS(Slots!$L:$L,Slots!$A:$A,$A17)</f>
      </c>
      <c r="H17" s="4">
        <f>SUMIFS(Slots!$N:$N,Slots!$A:$A,$A17)</f>
      </c>
      <c r="I17" s="5">
        <f>IF(F17&gt;0,H17/F17,0)</f>
      </c>
      <c r="J17" s="4">
        <f>SUMIFS(Slots!$N:$N,Slots!$A:$A,$A17,Slots!$E:$E,Setup!$D$2)</f>
      </c>
      <c r="K17" s="4">
        <f>SUMIFS(Slots!$N:$N,Slots!$A:$A,$A17,Slots!$E:$E,Setup!$D$3)</f>
      </c>
      <c r="L17" s="8">
        <f>IF(AND(N(Setup!$E$2)&gt;0,SUMIFS(Slots!$M:$M,Slots!$A:$A,$A17,Slots!$E:$E,Setup!$D$2)&gt;0),J17/(Setup!$E$2*SUMIFS(Slots!$M:$M,Slots!$A:$A,$A17,Slots!$E:$E,Setup!$D$2)),"")</f>
      </c>
      <c r="M17" s="8">
        <f>IF(AND(N(Setup!$E$3)&gt;0,SUMIFS(Slots!$M:$M,Slots!$A:$A,$A17,Slots!$E:$E,Setup!$D$3)&gt;0),K17/(Setup!$E$3*SUMIFS(Slots!$M:$M,Slots!$A:$A,$A17,Slots!$E:$E,Setup!$D$3)),"")</f>
      </c>
      <c r="N17" s="5">
        <f>SUMIFS(Slots!$K:$K,Slots!$A:$A,$A17,Slots!$D:$D,Setup!$A$2)</f>
      </c>
      <c r="O17" s="5">
        <f>SUMIFS(Slots!$K:$K,Slots!$A:$A,$A17,Slots!$D:$D,Setup!$A$3)</f>
      </c>
      <c r="P17" s="5">
        <f>SUMIFS(Slots!$K:$K,Slots!$A:$A,$A17,Slots!$D:$D,Setup!$A$4)</f>
      </c>
      <c r="Q17" s="5">
        <f>SUMIFS(Slots!$K:$K,Slots!$A:$A,$A17,Slots!$D:$D,Setup!$A$5)</f>
      </c>
      <c r="R17" s="5">
        <f>SUMIFS(Slots!$K:$K,Slots!$A:$A,$A17,Slots!$D:$D,Setup!$A$6)</f>
      </c>
    </row>
    <row r="18" spans="1:18" x14ac:dyDescent="0.25">
      <c r="A18" s="2">
        <v>46312</v>
      </c>
      <c r="B18" s="10">
        <v>0.9583333333333334</v>
      </c>
      <c r="C18" s="10">
        <v>0.3333333333333333</v>
      </c>
      <c r="D18" s="5">
        <f>IF(E18&gt;0,IF(C18=B18,24,ROUND(MOD(C18-B18,1)*24,4)),0)</f>
      </c>
      <c r="E18" s="5">
        <f>SUMIFS(Slots!$K:$K,Slots!$A:$A,$A18)</f>
      </c>
      <c r="F18" s="5">
        <f>SUMIFS(Slots!$M:$M,Slots!$A:$A,$A18)</f>
      </c>
      <c r="G18" s="5">
        <f>SUMIFS(Slots!$L:$L,Slots!$A:$A,$A18)</f>
      </c>
      <c r="H18" s="4">
        <f>SUMIFS(Slots!$N:$N,Slots!$A:$A,$A18)</f>
      </c>
      <c r="I18" s="5">
        <f>IF(F18&gt;0,H18/F18,0)</f>
      </c>
      <c r="J18" s="4">
        <f>SUMIFS(Slots!$N:$N,Slots!$A:$A,$A18,Slots!$E:$E,Setup!$D$2)</f>
      </c>
      <c r="K18" s="4">
        <f>SUMIFS(Slots!$N:$N,Slots!$A:$A,$A18,Slots!$E:$E,Setup!$D$3)</f>
      </c>
      <c r="L18" s="8">
        <f>IF(AND(N(Setup!$E$2)&gt;0,SUMIFS(Slots!$M:$M,Slots!$A:$A,$A18,Slots!$E:$E,Setup!$D$2)&gt;0),J18/(Setup!$E$2*SUMIFS(Slots!$M:$M,Slots!$A:$A,$A18,Slots!$E:$E,Setup!$D$2)),"")</f>
      </c>
      <c r="M18" s="8">
        <f>IF(AND(N(Setup!$E$3)&gt;0,SUMIFS(Slots!$M:$M,Slots!$A:$A,$A18,Slots!$E:$E,Setup!$D$3)&gt;0),K18/(Setup!$E$3*SUMIFS(Slots!$M:$M,Slots!$A:$A,$A18,Slots!$E:$E,Setup!$D$3)),"")</f>
      </c>
      <c r="N18" s="5">
        <f>SUMIFS(Slots!$K:$K,Slots!$A:$A,$A18,Slots!$D:$D,Setup!$A$2)</f>
      </c>
      <c r="O18" s="5">
        <f>SUMIFS(Slots!$K:$K,Slots!$A:$A,$A18,Slots!$D:$D,Setup!$A$3)</f>
      </c>
      <c r="P18" s="5">
        <f>SUMIFS(Slots!$K:$K,Slots!$A:$A,$A18,Slots!$D:$D,Setup!$A$4)</f>
      </c>
      <c r="Q18" s="5">
        <f>SUMIFS(Slots!$K:$K,Slots!$A:$A,$A18,Slots!$D:$D,Setup!$A$5)</f>
      </c>
      <c r="R18" s="5">
        <f>SUMIFS(Slots!$K:$K,Slots!$A:$A,$A18,Slots!$D:$D,Setup!$A$6)</f>
      </c>
    </row>
    <row r="19" spans="1:18" x14ac:dyDescent="0.25">
      <c r="A19" s="2">
        <v>46313</v>
      </c>
      <c r="B19" s="10">
        <v>0.9583333333333334</v>
      </c>
      <c r="C19" s="10">
        <v>0.3333333333333333</v>
      </c>
      <c r="D19" s="5">
        <f>IF(E19&gt;0,IF(C19=B19,24,ROUND(MOD(C19-B19,1)*24,4)),0)</f>
      </c>
      <c r="E19" s="5">
        <f>SUMIFS(Slots!$K:$K,Slots!$A:$A,$A19)</f>
      </c>
      <c r="F19" s="5">
        <f>SUMIFS(Slots!$M:$M,Slots!$A:$A,$A19)</f>
      </c>
      <c r="G19" s="5">
        <f>SUMIFS(Slots!$L:$L,Slots!$A:$A,$A19)</f>
      </c>
      <c r="H19" s="4">
        <f>SUMIFS(Slots!$N:$N,Slots!$A:$A,$A19)</f>
      </c>
      <c r="I19" s="5">
        <f>IF(F19&gt;0,H19/F19,0)</f>
      </c>
      <c r="J19" s="4">
        <f>SUMIFS(Slots!$N:$N,Slots!$A:$A,$A19,Slots!$E:$E,Setup!$D$2)</f>
      </c>
      <c r="K19" s="4">
        <f>SUMIFS(Slots!$N:$N,Slots!$A:$A,$A19,Slots!$E:$E,Setup!$D$3)</f>
      </c>
      <c r="L19" s="8">
        <f>IF(AND(N(Setup!$E$2)&gt;0,SUMIFS(Slots!$M:$M,Slots!$A:$A,$A19,Slots!$E:$E,Setup!$D$2)&gt;0),J19/(Setup!$E$2*SUMIFS(Slots!$M:$M,Slots!$A:$A,$A19,Slots!$E:$E,Setup!$D$2)),"")</f>
      </c>
      <c r="M19" s="8">
        <f>IF(AND(N(Setup!$E$3)&gt;0,SUMIFS(Slots!$M:$M,Slots!$A:$A,$A19,Slots!$E:$E,Setup!$D$3)&gt;0),K19/(Setup!$E$3*SUMIFS(Slots!$M:$M,Slots!$A:$A,$A19,Slots!$E:$E,Setup!$D$3)),"")</f>
      </c>
      <c r="N19" s="5">
        <f>SUMIFS(Slots!$K:$K,Slots!$A:$A,$A19,Slots!$D:$D,Setup!$A$2)</f>
      </c>
      <c r="O19" s="5">
        <f>SUMIFS(Slots!$K:$K,Slots!$A:$A,$A19,Slots!$D:$D,Setup!$A$3)</f>
      </c>
      <c r="P19" s="5">
        <f>SUMIFS(Slots!$K:$K,Slots!$A:$A,$A19,Slots!$D:$D,Setup!$A$4)</f>
      </c>
      <c r="Q19" s="5">
        <f>SUMIFS(Slots!$K:$K,Slots!$A:$A,$A19,Slots!$D:$D,Setup!$A$5)</f>
      </c>
      <c r="R19" s="5">
        <f>SUMIFS(Slots!$K:$K,Slots!$A:$A,$A19,Slots!$D:$D,Setup!$A$6)</f>
      </c>
    </row>
    <row r="20" spans="1:18" x14ac:dyDescent="0.25">
      <c r="A20" s="2">
        <v>46314</v>
      </c>
      <c r="B20" s="10">
        <v>0.9583333333333334</v>
      </c>
      <c r="C20" s="10">
        <v>0.3333333333333333</v>
      </c>
      <c r="D20" s="5">
        <f>IF(E20&gt;0,IF(C20=B20,24,ROUND(MOD(C20-B20,1)*24,4)),0)</f>
      </c>
      <c r="E20" s="5">
        <f>SUMIFS(Slots!$K:$K,Slots!$A:$A,$A20)</f>
      </c>
      <c r="F20" s="5">
        <f>SUMIFS(Slots!$M:$M,Slots!$A:$A,$A20)</f>
      </c>
      <c r="G20" s="5">
        <f>SUMIFS(Slots!$L:$L,Slots!$A:$A,$A20)</f>
      </c>
      <c r="H20" s="4">
        <f>SUMIFS(Slots!$N:$N,Slots!$A:$A,$A20)</f>
      </c>
      <c r="I20" s="5">
        <f>IF(F20&gt;0,H20/F20,0)</f>
      </c>
      <c r="J20" s="4">
        <f>SUMIFS(Slots!$N:$N,Slots!$A:$A,$A20,Slots!$E:$E,Setup!$D$2)</f>
      </c>
      <c r="K20" s="4">
        <f>SUMIFS(Slots!$N:$N,Slots!$A:$A,$A20,Slots!$E:$E,Setup!$D$3)</f>
      </c>
      <c r="L20" s="8">
        <f>IF(AND(N(Setup!$E$2)&gt;0,SUMIFS(Slots!$M:$M,Slots!$A:$A,$A20,Slots!$E:$E,Setup!$D$2)&gt;0),J20/(Setup!$E$2*SUMIFS(Slots!$M:$M,Slots!$A:$A,$A20,Slots!$E:$E,Setup!$D$2)),"")</f>
      </c>
      <c r="M20" s="8">
        <f>IF(AND(N(Setup!$E$3)&gt;0,SUMIFS(Slots!$M:$M,Slots!$A:$A,$A20,Slots!$E:$E,Setup!$D$3)&gt;0),K20/(Setup!$E$3*SUMIFS(Slots!$M:$M,Slots!$A:$A,$A20,Slots!$E:$E,Setup!$D$3)),"")</f>
      </c>
      <c r="N20" s="5">
        <f>SUMIFS(Slots!$K:$K,Slots!$A:$A,$A20,Slots!$D:$D,Setup!$A$2)</f>
      </c>
      <c r="O20" s="5">
        <f>SUMIFS(Slots!$K:$K,Slots!$A:$A,$A20,Slots!$D:$D,Setup!$A$3)</f>
      </c>
      <c r="P20" s="5">
        <f>SUMIFS(Slots!$K:$K,Slots!$A:$A,$A20,Slots!$D:$D,Setup!$A$4)</f>
      </c>
      <c r="Q20" s="5">
        <f>SUMIFS(Slots!$K:$K,Slots!$A:$A,$A20,Slots!$D:$D,Setup!$A$5)</f>
      </c>
      <c r="R20" s="5">
        <f>SUMIFS(Slots!$K:$K,Slots!$A:$A,$A20,Slots!$D:$D,Setup!$A$6)</f>
      </c>
    </row>
    <row r="21" spans="1:18" x14ac:dyDescent="0.25">
      <c r="A21" s="2">
        <v>46315</v>
      </c>
      <c r="B21" s="10">
        <v>0.9583333333333334</v>
      </c>
      <c r="C21" s="10">
        <v>0.3333333333333333</v>
      </c>
      <c r="D21" s="5">
        <f>IF(E21&gt;0,IF(C21=B21,24,ROUND(MOD(C21-B21,1)*24,4)),0)</f>
      </c>
      <c r="E21" s="5">
        <f>SUMIFS(Slots!$K:$K,Slots!$A:$A,$A21)</f>
      </c>
      <c r="F21" s="5">
        <f>SUMIFS(Slots!$M:$M,Slots!$A:$A,$A21)</f>
      </c>
      <c r="G21" s="5">
        <f>SUMIFS(Slots!$L:$L,Slots!$A:$A,$A21)</f>
      </c>
      <c r="H21" s="4">
        <f>SUMIFS(Slots!$N:$N,Slots!$A:$A,$A21)</f>
      </c>
      <c r="I21" s="5">
        <f>IF(F21&gt;0,H21/F21,0)</f>
      </c>
      <c r="J21" s="4">
        <f>SUMIFS(Slots!$N:$N,Slots!$A:$A,$A21,Slots!$E:$E,Setup!$D$2)</f>
      </c>
      <c r="K21" s="4">
        <f>SUMIFS(Slots!$N:$N,Slots!$A:$A,$A21,Slots!$E:$E,Setup!$D$3)</f>
      </c>
      <c r="L21" s="8">
        <f>IF(AND(N(Setup!$E$2)&gt;0,SUMIFS(Slots!$M:$M,Slots!$A:$A,$A21,Slots!$E:$E,Setup!$D$2)&gt;0),J21/(Setup!$E$2*SUMIFS(Slots!$M:$M,Slots!$A:$A,$A21,Slots!$E:$E,Setup!$D$2)),"")</f>
      </c>
      <c r="M21" s="8">
        <f>IF(AND(N(Setup!$E$3)&gt;0,SUMIFS(Slots!$M:$M,Slots!$A:$A,$A21,Slots!$E:$E,Setup!$D$3)&gt;0),K21/(Setup!$E$3*SUMIFS(Slots!$M:$M,Slots!$A:$A,$A21,Slots!$E:$E,Setup!$D$3)),"")</f>
      </c>
      <c r="N21" s="5">
        <f>SUMIFS(Slots!$K:$K,Slots!$A:$A,$A21,Slots!$D:$D,Setup!$A$2)</f>
      </c>
      <c r="O21" s="5">
        <f>SUMIFS(Slots!$K:$K,Slots!$A:$A,$A21,Slots!$D:$D,Setup!$A$3)</f>
      </c>
      <c r="P21" s="5">
        <f>SUMIFS(Slots!$K:$K,Slots!$A:$A,$A21,Slots!$D:$D,Setup!$A$4)</f>
      </c>
      <c r="Q21" s="5">
        <f>SUMIFS(Slots!$K:$K,Slots!$A:$A,$A21,Slots!$D:$D,Setup!$A$5)</f>
      </c>
      <c r="R21" s="5">
        <f>SUMIFS(Slots!$K:$K,Slots!$A:$A,$A21,Slots!$D:$D,Setup!$A$6)</f>
      </c>
    </row>
    <row r="22" spans="1:18" x14ac:dyDescent="0.25">
      <c r="A22" s="2">
        <v>46316</v>
      </c>
      <c r="B22" s="10">
        <v>0.9583333333333334</v>
      </c>
      <c r="C22" s="10">
        <v>0.3333333333333333</v>
      </c>
      <c r="D22" s="5">
        <f>IF(E22&gt;0,IF(C22=B22,24,ROUND(MOD(C22-B22,1)*24,4)),0)</f>
      </c>
      <c r="E22" s="5">
        <f>SUMIFS(Slots!$K:$K,Slots!$A:$A,$A22)</f>
      </c>
      <c r="F22" s="5">
        <f>SUMIFS(Slots!$M:$M,Slots!$A:$A,$A22)</f>
      </c>
      <c r="G22" s="5">
        <f>SUMIFS(Slots!$L:$L,Slots!$A:$A,$A22)</f>
      </c>
      <c r="H22" s="4">
        <f>SUMIFS(Slots!$N:$N,Slots!$A:$A,$A22)</f>
      </c>
      <c r="I22" s="5">
        <f>IF(F22&gt;0,H22/F22,0)</f>
      </c>
      <c r="J22" s="4">
        <f>SUMIFS(Slots!$N:$N,Slots!$A:$A,$A22,Slots!$E:$E,Setup!$D$2)</f>
      </c>
      <c r="K22" s="4">
        <f>SUMIFS(Slots!$N:$N,Slots!$A:$A,$A22,Slots!$E:$E,Setup!$D$3)</f>
      </c>
      <c r="L22" s="8">
        <f>IF(AND(N(Setup!$E$2)&gt;0,SUMIFS(Slots!$M:$M,Slots!$A:$A,$A22,Slots!$E:$E,Setup!$D$2)&gt;0),J22/(Setup!$E$2*SUMIFS(Slots!$M:$M,Slots!$A:$A,$A22,Slots!$E:$E,Setup!$D$2)),"")</f>
      </c>
      <c r="M22" s="8">
        <f>IF(AND(N(Setup!$E$3)&gt;0,SUMIFS(Slots!$M:$M,Slots!$A:$A,$A22,Slots!$E:$E,Setup!$D$3)&gt;0),K22/(Setup!$E$3*SUMIFS(Slots!$M:$M,Slots!$A:$A,$A22,Slots!$E:$E,Setup!$D$3)),"")</f>
      </c>
      <c r="N22" s="5">
        <f>SUMIFS(Slots!$K:$K,Slots!$A:$A,$A22,Slots!$D:$D,Setup!$A$2)</f>
      </c>
      <c r="O22" s="5">
        <f>SUMIFS(Slots!$K:$K,Slots!$A:$A,$A22,Slots!$D:$D,Setup!$A$3)</f>
      </c>
      <c r="P22" s="5">
        <f>SUMIFS(Slots!$K:$K,Slots!$A:$A,$A22,Slots!$D:$D,Setup!$A$4)</f>
      </c>
      <c r="Q22" s="5">
        <f>SUMIFS(Slots!$K:$K,Slots!$A:$A,$A22,Slots!$D:$D,Setup!$A$5)</f>
      </c>
      <c r="R22" s="5">
        <f>SUMIFS(Slots!$K:$K,Slots!$A:$A,$A22,Slots!$D:$D,Setup!$A$6)</f>
      </c>
    </row>
    <row r="23" spans="1:18" x14ac:dyDescent="0.25">
      <c r="A23" s="2">
        <v>46317</v>
      </c>
      <c r="B23" s="10">
        <v>0.9583333333333334</v>
      </c>
      <c r="C23" s="10">
        <v>0.3333333333333333</v>
      </c>
      <c r="D23" s="5">
        <f>IF(E23&gt;0,IF(C23=B23,24,ROUND(MOD(C23-B23,1)*24,4)),0)</f>
      </c>
      <c r="E23" s="5">
        <f>SUMIFS(Slots!$K:$K,Slots!$A:$A,$A23)</f>
      </c>
      <c r="F23" s="5">
        <f>SUMIFS(Slots!$M:$M,Slots!$A:$A,$A23)</f>
      </c>
      <c r="G23" s="5">
        <f>SUMIFS(Slots!$L:$L,Slots!$A:$A,$A23)</f>
      </c>
      <c r="H23" s="4">
        <f>SUMIFS(Slots!$N:$N,Slots!$A:$A,$A23)</f>
      </c>
      <c r="I23" s="5">
        <f>IF(F23&gt;0,H23/F23,0)</f>
      </c>
      <c r="J23" s="4">
        <f>SUMIFS(Slots!$N:$N,Slots!$A:$A,$A23,Slots!$E:$E,Setup!$D$2)</f>
      </c>
      <c r="K23" s="4">
        <f>SUMIFS(Slots!$N:$N,Slots!$A:$A,$A23,Slots!$E:$E,Setup!$D$3)</f>
      </c>
      <c r="L23" s="8">
        <f>IF(AND(N(Setup!$E$2)&gt;0,SUMIFS(Slots!$M:$M,Slots!$A:$A,$A23,Slots!$E:$E,Setup!$D$2)&gt;0),J23/(Setup!$E$2*SUMIFS(Slots!$M:$M,Slots!$A:$A,$A23,Slots!$E:$E,Setup!$D$2)),"")</f>
      </c>
      <c r="M23" s="8">
        <f>IF(AND(N(Setup!$E$3)&gt;0,SUMIFS(Slots!$M:$M,Slots!$A:$A,$A23,Slots!$E:$E,Setup!$D$3)&gt;0),K23/(Setup!$E$3*SUMIFS(Slots!$M:$M,Slots!$A:$A,$A23,Slots!$E:$E,Setup!$D$3)),"")</f>
      </c>
      <c r="N23" s="5">
        <f>SUMIFS(Slots!$K:$K,Slots!$A:$A,$A23,Slots!$D:$D,Setup!$A$2)</f>
      </c>
      <c r="O23" s="5">
        <f>SUMIFS(Slots!$K:$K,Slots!$A:$A,$A23,Slots!$D:$D,Setup!$A$3)</f>
      </c>
      <c r="P23" s="5">
        <f>SUMIFS(Slots!$K:$K,Slots!$A:$A,$A23,Slots!$D:$D,Setup!$A$4)</f>
      </c>
      <c r="Q23" s="5">
        <f>SUMIFS(Slots!$K:$K,Slots!$A:$A,$A23,Slots!$D:$D,Setup!$A$5)</f>
      </c>
      <c r="R23" s="5">
        <f>SUMIFS(Slots!$K:$K,Slots!$A:$A,$A23,Slots!$D:$D,Setup!$A$6)</f>
      </c>
    </row>
    <row r="24" spans="1:18" x14ac:dyDescent="0.25">
      <c r="A24" s="2">
        <v>46318</v>
      </c>
      <c r="B24" s="10">
        <v>0.9583333333333334</v>
      </c>
      <c r="C24" s="10">
        <v>0.3333333333333333</v>
      </c>
      <c r="D24" s="5">
        <f>IF(E24&gt;0,IF(C24=B24,24,ROUND(MOD(C24-B24,1)*24,4)),0)</f>
      </c>
      <c r="E24" s="5">
        <f>SUMIFS(Slots!$K:$K,Slots!$A:$A,$A24)</f>
      </c>
      <c r="F24" s="5">
        <f>SUMIFS(Slots!$M:$M,Slots!$A:$A,$A24)</f>
      </c>
      <c r="G24" s="5">
        <f>SUMIFS(Slots!$L:$L,Slots!$A:$A,$A24)</f>
      </c>
      <c r="H24" s="4">
        <f>SUMIFS(Slots!$N:$N,Slots!$A:$A,$A24)</f>
      </c>
      <c r="I24" s="5">
        <f>IF(F24&gt;0,H24/F24,0)</f>
      </c>
      <c r="J24" s="4">
        <f>SUMIFS(Slots!$N:$N,Slots!$A:$A,$A24,Slots!$E:$E,Setup!$D$2)</f>
      </c>
      <c r="K24" s="4">
        <f>SUMIFS(Slots!$N:$N,Slots!$A:$A,$A24,Slots!$E:$E,Setup!$D$3)</f>
      </c>
      <c r="L24" s="8">
        <f>IF(AND(N(Setup!$E$2)&gt;0,SUMIFS(Slots!$M:$M,Slots!$A:$A,$A24,Slots!$E:$E,Setup!$D$2)&gt;0),J24/(Setup!$E$2*SUMIFS(Slots!$M:$M,Slots!$A:$A,$A24,Slots!$E:$E,Setup!$D$2)),"")</f>
      </c>
      <c r="M24" s="8">
        <f>IF(AND(N(Setup!$E$3)&gt;0,SUMIFS(Slots!$M:$M,Slots!$A:$A,$A24,Slots!$E:$E,Setup!$D$3)&gt;0),K24/(Setup!$E$3*SUMIFS(Slots!$M:$M,Slots!$A:$A,$A24,Slots!$E:$E,Setup!$D$3)),"")</f>
      </c>
      <c r="N24" s="5">
        <f>SUMIFS(Slots!$K:$K,Slots!$A:$A,$A24,Slots!$D:$D,Setup!$A$2)</f>
      </c>
      <c r="O24" s="5">
        <f>SUMIFS(Slots!$K:$K,Slots!$A:$A,$A24,Slots!$D:$D,Setup!$A$3)</f>
      </c>
      <c r="P24" s="5">
        <f>SUMIFS(Slots!$K:$K,Slots!$A:$A,$A24,Slots!$D:$D,Setup!$A$4)</f>
      </c>
      <c r="Q24" s="5">
        <f>SUMIFS(Slots!$K:$K,Slots!$A:$A,$A24,Slots!$D:$D,Setup!$A$5)</f>
      </c>
      <c r="R24" s="5">
        <f>SUMIFS(Slots!$K:$K,Slots!$A:$A,$A24,Slots!$D:$D,Setup!$A$6)</f>
      </c>
    </row>
    <row r="25" spans="1:18" x14ac:dyDescent="0.25">
      <c r="A25" s="2">
        <v>46319</v>
      </c>
      <c r="B25" s="10">
        <v>0.9583333333333334</v>
      </c>
      <c r="C25" s="10">
        <v>0.3333333333333333</v>
      </c>
      <c r="D25" s="5">
        <f>IF(E25&gt;0,IF(C25=B25,24,ROUND(MOD(C25-B25,1)*24,4)),0)</f>
      </c>
      <c r="E25" s="5">
        <f>SUMIFS(Slots!$K:$K,Slots!$A:$A,$A25)</f>
      </c>
      <c r="F25" s="5">
        <f>SUMIFS(Slots!$M:$M,Slots!$A:$A,$A25)</f>
      </c>
      <c r="G25" s="5">
        <f>SUMIFS(Slots!$L:$L,Slots!$A:$A,$A25)</f>
      </c>
      <c r="H25" s="4">
        <f>SUMIFS(Slots!$N:$N,Slots!$A:$A,$A25)</f>
      </c>
      <c r="I25" s="5">
        <f>IF(F25&gt;0,H25/F25,0)</f>
      </c>
      <c r="J25" s="4">
        <f>SUMIFS(Slots!$N:$N,Slots!$A:$A,$A25,Slots!$E:$E,Setup!$D$2)</f>
      </c>
      <c r="K25" s="4">
        <f>SUMIFS(Slots!$N:$N,Slots!$A:$A,$A25,Slots!$E:$E,Setup!$D$3)</f>
      </c>
      <c r="L25" s="8">
        <f>IF(AND(N(Setup!$E$2)&gt;0,SUMIFS(Slots!$M:$M,Slots!$A:$A,$A25,Slots!$E:$E,Setup!$D$2)&gt;0),J25/(Setup!$E$2*SUMIFS(Slots!$M:$M,Slots!$A:$A,$A25,Slots!$E:$E,Setup!$D$2)),"")</f>
      </c>
      <c r="M25" s="8">
        <f>IF(AND(N(Setup!$E$3)&gt;0,SUMIFS(Slots!$M:$M,Slots!$A:$A,$A25,Slots!$E:$E,Setup!$D$3)&gt;0),K25/(Setup!$E$3*SUMIFS(Slots!$M:$M,Slots!$A:$A,$A25,Slots!$E:$E,Setup!$D$3)),"")</f>
      </c>
      <c r="N25" s="5">
        <f>SUMIFS(Slots!$K:$K,Slots!$A:$A,$A25,Slots!$D:$D,Setup!$A$2)</f>
      </c>
      <c r="O25" s="5">
        <f>SUMIFS(Slots!$K:$K,Slots!$A:$A,$A25,Slots!$D:$D,Setup!$A$3)</f>
      </c>
      <c r="P25" s="5">
        <f>SUMIFS(Slots!$K:$K,Slots!$A:$A,$A25,Slots!$D:$D,Setup!$A$4)</f>
      </c>
      <c r="Q25" s="5">
        <f>SUMIFS(Slots!$K:$K,Slots!$A:$A,$A25,Slots!$D:$D,Setup!$A$5)</f>
      </c>
      <c r="R25" s="5">
        <f>SUMIFS(Slots!$K:$K,Slots!$A:$A,$A25,Slots!$D:$D,Setup!$A$6)</f>
      </c>
    </row>
    <row r="26" spans="1:18" x14ac:dyDescent="0.25">
      <c r="A26" s="2">
        <v>46320</v>
      </c>
      <c r="B26" s="10">
        <v>0.9583333333333334</v>
      </c>
      <c r="C26" s="10">
        <v>0.3333333333333333</v>
      </c>
      <c r="D26" s="5">
        <f>IF(E26&gt;0,IF(C26=B26,24,ROUND(MOD(C26-B26,1)*24,4)),0)</f>
      </c>
      <c r="E26" s="5">
        <f>SUMIFS(Slots!$K:$K,Slots!$A:$A,$A26)</f>
      </c>
      <c r="F26" s="5">
        <f>SUMIFS(Slots!$M:$M,Slots!$A:$A,$A26)</f>
      </c>
      <c r="G26" s="5">
        <f>SUMIFS(Slots!$L:$L,Slots!$A:$A,$A26)</f>
      </c>
      <c r="H26" s="4">
        <f>SUMIFS(Slots!$N:$N,Slots!$A:$A,$A26)</f>
      </c>
      <c r="I26" s="5">
        <f>IF(F26&gt;0,H26/F26,0)</f>
      </c>
      <c r="J26" s="4">
        <f>SUMIFS(Slots!$N:$N,Slots!$A:$A,$A26,Slots!$E:$E,Setup!$D$2)</f>
      </c>
      <c r="K26" s="4">
        <f>SUMIFS(Slots!$N:$N,Slots!$A:$A,$A26,Slots!$E:$E,Setup!$D$3)</f>
      </c>
      <c r="L26" s="8">
        <f>IF(AND(N(Setup!$E$2)&gt;0,SUMIFS(Slots!$M:$M,Slots!$A:$A,$A26,Slots!$E:$E,Setup!$D$2)&gt;0),J26/(Setup!$E$2*SUMIFS(Slots!$M:$M,Slots!$A:$A,$A26,Slots!$E:$E,Setup!$D$2)),"")</f>
      </c>
      <c r="M26" s="8">
        <f>IF(AND(N(Setup!$E$3)&gt;0,SUMIFS(Slots!$M:$M,Slots!$A:$A,$A26,Slots!$E:$E,Setup!$D$3)&gt;0),K26/(Setup!$E$3*SUMIFS(Slots!$M:$M,Slots!$A:$A,$A26,Slots!$E:$E,Setup!$D$3)),"")</f>
      </c>
      <c r="N26" s="5">
        <f>SUMIFS(Slots!$K:$K,Slots!$A:$A,$A26,Slots!$D:$D,Setup!$A$2)</f>
      </c>
      <c r="O26" s="5">
        <f>SUMIFS(Slots!$K:$K,Slots!$A:$A,$A26,Slots!$D:$D,Setup!$A$3)</f>
      </c>
      <c r="P26" s="5">
        <f>SUMIFS(Slots!$K:$K,Slots!$A:$A,$A26,Slots!$D:$D,Setup!$A$4)</f>
      </c>
      <c r="Q26" s="5">
        <f>SUMIFS(Slots!$K:$K,Slots!$A:$A,$A26,Slots!$D:$D,Setup!$A$5)</f>
      </c>
      <c r="R26" s="5">
        <f>SUMIFS(Slots!$K:$K,Slots!$A:$A,$A26,Slots!$D:$D,Setup!$A$6)</f>
      </c>
    </row>
    <row r="27" spans="1:18" x14ac:dyDescent="0.25">
      <c r="A27" s="2">
        <v>46321</v>
      </c>
      <c r="B27" s="10">
        <v>0.9583333333333334</v>
      </c>
      <c r="C27" s="10">
        <v>0.3333333333333333</v>
      </c>
      <c r="D27" s="5">
        <f>IF(E27&gt;0,IF(C27=B27,24,ROUND(MOD(C27-B27,1)*24,4)),0)</f>
      </c>
      <c r="E27" s="5">
        <f>SUMIFS(Slots!$K:$K,Slots!$A:$A,$A27)</f>
      </c>
      <c r="F27" s="5">
        <f>SUMIFS(Slots!$M:$M,Slots!$A:$A,$A27)</f>
      </c>
      <c r="G27" s="5">
        <f>SUMIFS(Slots!$L:$L,Slots!$A:$A,$A27)</f>
      </c>
      <c r="H27" s="4">
        <f>SUMIFS(Slots!$N:$N,Slots!$A:$A,$A27)</f>
      </c>
      <c r="I27" s="5">
        <f>IF(F27&gt;0,H27/F27,0)</f>
      </c>
      <c r="J27" s="4">
        <f>SUMIFS(Slots!$N:$N,Slots!$A:$A,$A27,Slots!$E:$E,Setup!$D$2)</f>
      </c>
      <c r="K27" s="4">
        <f>SUMIFS(Slots!$N:$N,Slots!$A:$A,$A27,Slots!$E:$E,Setup!$D$3)</f>
      </c>
      <c r="L27" s="8">
        <f>IF(AND(N(Setup!$E$2)&gt;0,SUMIFS(Slots!$M:$M,Slots!$A:$A,$A27,Slots!$E:$E,Setup!$D$2)&gt;0),J27/(Setup!$E$2*SUMIFS(Slots!$M:$M,Slots!$A:$A,$A27,Slots!$E:$E,Setup!$D$2)),"")</f>
      </c>
      <c r="M27" s="8">
        <f>IF(AND(N(Setup!$E$3)&gt;0,SUMIFS(Slots!$M:$M,Slots!$A:$A,$A27,Slots!$E:$E,Setup!$D$3)&gt;0),K27/(Setup!$E$3*SUMIFS(Slots!$M:$M,Slots!$A:$A,$A27,Slots!$E:$E,Setup!$D$3)),"")</f>
      </c>
      <c r="N27" s="5">
        <f>SUMIFS(Slots!$K:$K,Slots!$A:$A,$A27,Slots!$D:$D,Setup!$A$2)</f>
      </c>
      <c r="O27" s="5">
        <f>SUMIFS(Slots!$K:$K,Slots!$A:$A,$A27,Slots!$D:$D,Setup!$A$3)</f>
      </c>
      <c r="P27" s="5">
        <f>SUMIFS(Slots!$K:$K,Slots!$A:$A,$A27,Slots!$D:$D,Setup!$A$4)</f>
      </c>
      <c r="Q27" s="5">
        <f>SUMIFS(Slots!$K:$K,Slots!$A:$A,$A27,Slots!$D:$D,Setup!$A$5)</f>
      </c>
      <c r="R27" s="5">
        <f>SUMIFS(Slots!$K:$K,Slots!$A:$A,$A27,Slots!$D:$D,Setup!$A$6)</f>
      </c>
    </row>
    <row r="28" spans="1:18" x14ac:dyDescent="0.25">
      <c r="A28" s="2">
        <v>46322</v>
      </c>
      <c r="B28" s="10">
        <v>0.9583333333333334</v>
      </c>
      <c r="C28" s="10">
        <v>0.3333333333333333</v>
      </c>
      <c r="D28" s="5">
        <f>IF(E28&gt;0,IF(C28=B28,24,ROUND(MOD(C28-B28,1)*24,4)),0)</f>
      </c>
      <c r="E28" s="5">
        <f>SUMIFS(Slots!$K:$K,Slots!$A:$A,$A28)</f>
      </c>
      <c r="F28" s="5">
        <f>SUMIFS(Slots!$M:$M,Slots!$A:$A,$A28)</f>
      </c>
      <c r="G28" s="5">
        <f>SUMIFS(Slots!$L:$L,Slots!$A:$A,$A28)</f>
      </c>
      <c r="H28" s="4">
        <f>SUMIFS(Slots!$N:$N,Slots!$A:$A,$A28)</f>
      </c>
      <c r="I28" s="5">
        <f>IF(F28&gt;0,H28/F28,0)</f>
      </c>
      <c r="J28" s="4">
        <f>SUMIFS(Slots!$N:$N,Slots!$A:$A,$A28,Slots!$E:$E,Setup!$D$2)</f>
      </c>
      <c r="K28" s="4">
        <f>SUMIFS(Slots!$N:$N,Slots!$A:$A,$A28,Slots!$E:$E,Setup!$D$3)</f>
      </c>
      <c r="L28" s="8">
        <f>IF(AND(N(Setup!$E$2)&gt;0,SUMIFS(Slots!$M:$M,Slots!$A:$A,$A28,Slots!$E:$E,Setup!$D$2)&gt;0),J28/(Setup!$E$2*SUMIFS(Slots!$M:$M,Slots!$A:$A,$A28,Slots!$E:$E,Setup!$D$2)),"")</f>
      </c>
      <c r="M28" s="8">
        <f>IF(AND(N(Setup!$E$3)&gt;0,SUMIFS(Slots!$M:$M,Slots!$A:$A,$A28,Slots!$E:$E,Setup!$D$3)&gt;0),K28/(Setup!$E$3*SUMIFS(Slots!$M:$M,Slots!$A:$A,$A28,Slots!$E:$E,Setup!$D$3)),"")</f>
      </c>
      <c r="N28" s="5">
        <f>SUMIFS(Slots!$K:$K,Slots!$A:$A,$A28,Slots!$D:$D,Setup!$A$2)</f>
      </c>
      <c r="O28" s="5">
        <f>SUMIFS(Slots!$K:$K,Slots!$A:$A,$A28,Slots!$D:$D,Setup!$A$3)</f>
      </c>
      <c r="P28" s="5">
        <f>SUMIFS(Slots!$K:$K,Slots!$A:$A,$A28,Slots!$D:$D,Setup!$A$4)</f>
      </c>
      <c r="Q28" s="5">
        <f>SUMIFS(Slots!$K:$K,Slots!$A:$A,$A28,Slots!$D:$D,Setup!$A$5)</f>
      </c>
      <c r="R28" s="5">
        <f>SUMIFS(Slots!$K:$K,Slots!$A:$A,$A28,Slots!$D:$D,Setup!$A$6)</f>
      </c>
    </row>
    <row r="29" spans="1:18" x14ac:dyDescent="0.25">
      <c r="A29" s="2">
        <v>46323</v>
      </c>
      <c r="B29" s="10">
        <v>0.9583333333333334</v>
      </c>
      <c r="C29" s="10">
        <v>0.3333333333333333</v>
      </c>
      <c r="D29" s="5">
        <f>IF(E29&gt;0,IF(C29=B29,24,ROUND(MOD(C29-B29,1)*24,4)),0)</f>
      </c>
      <c r="E29" s="5">
        <f>SUMIFS(Slots!$K:$K,Slots!$A:$A,$A29)</f>
      </c>
      <c r="F29" s="5">
        <f>SUMIFS(Slots!$M:$M,Slots!$A:$A,$A29)</f>
      </c>
      <c r="G29" s="5">
        <f>SUMIFS(Slots!$L:$L,Slots!$A:$A,$A29)</f>
      </c>
      <c r="H29" s="4">
        <f>SUMIFS(Slots!$N:$N,Slots!$A:$A,$A29)</f>
      </c>
      <c r="I29" s="5">
        <f>IF(F29&gt;0,H29/F29,0)</f>
      </c>
      <c r="J29" s="4">
        <f>SUMIFS(Slots!$N:$N,Slots!$A:$A,$A29,Slots!$E:$E,Setup!$D$2)</f>
      </c>
      <c r="K29" s="4">
        <f>SUMIFS(Slots!$N:$N,Slots!$A:$A,$A29,Slots!$E:$E,Setup!$D$3)</f>
      </c>
      <c r="L29" s="8">
        <f>IF(AND(N(Setup!$E$2)&gt;0,SUMIFS(Slots!$M:$M,Slots!$A:$A,$A29,Slots!$E:$E,Setup!$D$2)&gt;0),J29/(Setup!$E$2*SUMIFS(Slots!$M:$M,Slots!$A:$A,$A29,Slots!$E:$E,Setup!$D$2)),"")</f>
      </c>
      <c r="M29" s="8">
        <f>IF(AND(N(Setup!$E$3)&gt;0,SUMIFS(Slots!$M:$M,Slots!$A:$A,$A29,Slots!$E:$E,Setup!$D$3)&gt;0),K29/(Setup!$E$3*SUMIFS(Slots!$M:$M,Slots!$A:$A,$A29,Slots!$E:$E,Setup!$D$3)),"")</f>
      </c>
      <c r="N29" s="5">
        <f>SUMIFS(Slots!$K:$K,Slots!$A:$A,$A29,Slots!$D:$D,Setup!$A$2)</f>
      </c>
      <c r="O29" s="5">
        <f>SUMIFS(Slots!$K:$K,Slots!$A:$A,$A29,Slots!$D:$D,Setup!$A$3)</f>
      </c>
      <c r="P29" s="5">
        <f>SUMIFS(Slots!$K:$K,Slots!$A:$A,$A29,Slots!$D:$D,Setup!$A$4)</f>
      </c>
      <c r="Q29" s="5">
        <f>SUMIFS(Slots!$K:$K,Slots!$A:$A,$A29,Slots!$D:$D,Setup!$A$5)</f>
      </c>
      <c r="R29" s="5">
        <f>SUMIFS(Slots!$K:$K,Slots!$A:$A,$A29,Slots!$D:$D,Setup!$A$6)</f>
      </c>
    </row>
    <row r="30" spans="1:18" x14ac:dyDescent="0.25">
      <c r="A30" s="2">
        <v>46324</v>
      </c>
      <c r="B30" s="10">
        <v>0.9583333333333334</v>
      </c>
      <c r="C30" s="10">
        <v>0.3333333333333333</v>
      </c>
      <c r="D30" s="5">
        <f>IF(E30&gt;0,IF(C30=B30,24,ROUND(MOD(C30-B30,1)*24,4)),0)</f>
      </c>
      <c r="E30" s="5">
        <f>SUMIFS(Slots!$K:$K,Slots!$A:$A,$A30)</f>
      </c>
      <c r="F30" s="5">
        <f>SUMIFS(Slots!$M:$M,Slots!$A:$A,$A30)</f>
      </c>
      <c r="G30" s="5">
        <f>SUMIFS(Slots!$L:$L,Slots!$A:$A,$A30)</f>
      </c>
      <c r="H30" s="4">
        <f>SUMIFS(Slots!$N:$N,Slots!$A:$A,$A30)</f>
      </c>
      <c r="I30" s="5">
        <f>IF(F30&gt;0,H30/F30,0)</f>
      </c>
      <c r="J30" s="4">
        <f>SUMIFS(Slots!$N:$N,Slots!$A:$A,$A30,Slots!$E:$E,Setup!$D$2)</f>
      </c>
      <c r="K30" s="4">
        <f>SUMIFS(Slots!$N:$N,Slots!$A:$A,$A30,Slots!$E:$E,Setup!$D$3)</f>
      </c>
      <c r="L30" s="8">
        <f>IF(AND(N(Setup!$E$2)&gt;0,SUMIFS(Slots!$M:$M,Slots!$A:$A,$A30,Slots!$E:$E,Setup!$D$2)&gt;0),J30/(Setup!$E$2*SUMIFS(Slots!$M:$M,Slots!$A:$A,$A30,Slots!$E:$E,Setup!$D$2)),"")</f>
      </c>
      <c r="M30" s="8">
        <f>IF(AND(N(Setup!$E$3)&gt;0,SUMIFS(Slots!$M:$M,Slots!$A:$A,$A30,Slots!$E:$E,Setup!$D$3)&gt;0),K30/(Setup!$E$3*SUMIFS(Slots!$M:$M,Slots!$A:$A,$A30,Slots!$E:$E,Setup!$D$3)),"")</f>
      </c>
      <c r="N30" s="5">
        <f>SUMIFS(Slots!$K:$K,Slots!$A:$A,$A30,Slots!$D:$D,Setup!$A$2)</f>
      </c>
      <c r="O30" s="5">
        <f>SUMIFS(Slots!$K:$K,Slots!$A:$A,$A30,Slots!$D:$D,Setup!$A$3)</f>
      </c>
      <c r="P30" s="5">
        <f>SUMIFS(Slots!$K:$K,Slots!$A:$A,$A30,Slots!$D:$D,Setup!$A$4)</f>
      </c>
      <c r="Q30" s="5">
        <f>SUMIFS(Slots!$K:$K,Slots!$A:$A,$A30,Slots!$D:$D,Setup!$A$5)</f>
      </c>
      <c r="R30" s="5">
        <f>SUMIFS(Slots!$K:$K,Slots!$A:$A,$A30,Slots!$D:$D,Setup!$A$6)</f>
      </c>
    </row>
    <row r="31" spans="1:18" x14ac:dyDescent="0.25">
      <c r="A31" s="2">
        <v>46325</v>
      </c>
      <c r="B31" s="10">
        <v>0.9583333333333334</v>
      </c>
      <c r="C31" s="10">
        <v>0.3333333333333333</v>
      </c>
      <c r="D31" s="5">
        <f>IF(E31&gt;0,IF(C31=B31,24,ROUND(MOD(C31-B31,1)*24,4)),0)</f>
      </c>
      <c r="E31" s="5">
        <f>SUMIFS(Slots!$K:$K,Slots!$A:$A,$A31)</f>
      </c>
      <c r="F31" s="5">
        <f>SUMIFS(Slots!$M:$M,Slots!$A:$A,$A31)</f>
      </c>
      <c r="G31" s="5">
        <f>SUMIFS(Slots!$L:$L,Slots!$A:$A,$A31)</f>
      </c>
      <c r="H31" s="4">
        <f>SUMIFS(Slots!$N:$N,Slots!$A:$A,$A31)</f>
      </c>
      <c r="I31" s="5">
        <f>IF(F31&gt;0,H31/F31,0)</f>
      </c>
      <c r="J31" s="4">
        <f>SUMIFS(Slots!$N:$N,Slots!$A:$A,$A31,Slots!$E:$E,Setup!$D$2)</f>
      </c>
      <c r="K31" s="4">
        <f>SUMIFS(Slots!$N:$N,Slots!$A:$A,$A31,Slots!$E:$E,Setup!$D$3)</f>
      </c>
      <c r="L31" s="8">
        <f>IF(AND(N(Setup!$E$2)&gt;0,SUMIFS(Slots!$M:$M,Slots!$A:$A,$A31,Slots!$E:$E,Setup!$D$2)&gt;0),J31/(Setup!$E$2*SUMIFS(Slots!$M:$M,Slots!$A:$A,$A31,Slots!$E:$E,Setup!$D$2)),"")</f>
      </c>
      <c r="M31" s="8">
        <f>IF(AND(N(Setup!$E$3)&gt;0,SUMIFS(Slots!$M:$M,Slots!$A:$A,$A31,Slots!$E:$E,Setup!$D$3)&gt;0),K31/(Setup!$E$3*SUMIFS(Slots!$M:$M,Slots!$A:$A,$A31,Slots!$E:$E,Setup!$D$3)),"")</f>
      </c>
      <c r="N31" s="5">
        <f>SUMIFS(Slots!$K:$K,Slots!$A:$A,$A31,Slots!$D:$D,Setup!$A$2)</f>
      </c>
      <c r="O31" s="5">
        <f>SUMIFS(Slots!$K:$K,Slots!$A:$A,$A31,Slots!$D:$D,Setup!$A$3)</f>
      </c>
      <c r="P31" s="5">
        <f>SUMIFS(Slots!$K:$K,Slots!$A:$A,$A31,Slots!$D:$D,Setup!$A$4)</f>
      </c>
      <c r="Q31" s="5">
        <f>SUMIFS(Slots!$K:$K,Slots!$A:$A,$A31,Slots!$D:$D,Setup!$A$5)</f>
      </c>
      <c r="R31" s="5">
        <f>SUMIFS(Slots!$K:$K,Slots!$A:$A,$A31,Slots!$D:$D,Setup!$A$6)</f>
      </c>
    </row>
    <row r="32" spans="1:18" x14ac:dyDescent="0.25">
      <c r="A32" s="2">
        <v>46326</v>
      </c>
      <c r="B32" s="10">
        <v>0.9583333333333334</v>
      </c>
      <c r="C32" s="10">
        <v>0.3333333333333333</v>
      </c>
      <c r="D32" s="5">
        <f>IF(E32&gt;0,IF(C32=B32,24,ROUND(MOD(C32-B32,1)*24,4)),0)</f>
      </c>
      <c r="E32" s="5">
        <f>SUMIFS(Slots!$K:$K,Slots!$A:$A,$A32)</f>
      </c>
      <c r="F32" s="5">
        <f>SUMIFS(Slots!$M:$M,Slots!$A:$A,$A32)</f>
      </c>
      <c r="G32" s="5">
        <f>SUMIFS(Slots!$L:$L,Slots!$A:$A,$A32)</f>
      </c>
      <c r="H32" s="4">
        <f>SUMIFS(Slots!$N:$N,Slots!$A:$A,$A32)</f>
      </c>
      <c r="I32" s="5">
        <f>IF(F32&gt;0,H32/F32,0)</f>
      </c>
      <c r="J32" s="4">
        <f>SUMIFS(Slots!$N:$N,Slots!$A:$A,$A32,Slots!$E:$E,Setup!$D$2)</f>
      </c>
      <c r="K32" s="4">
        <f>SUMIFS(Slots!$N:$N,Slots!$A:$A,$A32,Slots!$E:$E,Setup!$D$3)</f>
      </c>
      <c r="L32" s="8">
        <f>IF(AND(N(Setup!$E$2)&gt;0,SUMIFS(Slots!$M:$M,Slots!$A:$A,$A32,Slots!$E:$E,Setup!$D$2)&gt;0),J32/(Setup!$E$2*SUMIFS(Slots!$M:$M,Slots!$A:$A,$A32,Slots!$E:$E,Setup!$D$2)),"")</f>
      </c>
      <c r="M32" s="8">
        <f>IF(AND(N(Setup!$E$3)&gt;0,SUMIFS(Slots!$M:$M,Slots!$A:$A,$A32,Slots!$E:$E,Setup!$D$3)&gt;0),K32/(Setup!$E$3*SUMIFS(Slots!$M:$M,Slots!$A:$A,$A32,Slots!$E:$E,Setup!$D$3)),"")</f>
      </c>
      <c r="N32" s="5">
        <f>SUMIFS(Slots!$K:$K,Slots!$A:$A,$A32,Slots!$D:$D,Setup!$A$2)</f>
      </c>
      <c r="O32" s="5">
        <f>SUMIFS(Slots!$K:$K,Slots!$A:$A,$A32,Slots!$D:$D,Setup!$A$3)</f>
      </c>
      <c r="P32" s="5">
        <f>SUMIFS(Slots!$K:$K,Slots!$A:$A,$A32,Slots!$D:$D,Setup!$A$4)</f>
      </c>
      <c r="Q32" s="5">
        <f>SUMIFS(Slots!$K:$K,Slots!$A:$A,$A32,Slots!$D:$D,Setup!$A$5)</f>
      </c>
      <c r="R32" s="5">
        <f>SUMIFS(Slots!$K:$K,Slots!$A:$A,$A32,Slots!$D:$D,Setup!$A$6)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0" customWidth="1"/>
    <col min="4" max="4" width="20" customWidth="1"/>
    <col min="5" max="5" width="18" customWidth="1"/>
    <col min="6" max="6" width="8" customWidth="1"/>
    <col min="7" max="7" width="20" customWidth="1"/>
    <col min="9" max="9" width="10" customWidth="1"/>
    <col min="10" max="10" width="15" customWidth="1"/>
    <col min="11" max="11" width="8" customWidth="1"/>
    <col min="12" max="12" width="15" customWidth="1"/>
    <col min="13" max="13" width="16" customWidth="1"/>
    <col min="14" max="15" width="15" customWidth="1"/>
  </cols>
  <sheetData>
    <row r="1" spans="1:15" x14ac:dyDescent="0.25">
      <c r="A1" s="9" t="s">
        <v>20</v>
      </c>
      <c r="B1" s="9" t="s">
        <v>28</v>
      </c>
      <c r="C1" s="9" t="s">
        <v>29</v>
      </c>
      <c r="D1" s="9" t="s">
        <v>18</v>
      </c>
      <c r="E1" s="9" t="s">
        <v>10</v>
      </c>
      <c r="F1" s="9" t="s">
        <v>2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11</v>
      </c>
      <c r="L1" s="9" t="s">
        <v>34</v>
      </c>
      <c r="M1" s="9" t="s">
        <v>25</v>
      </c>
      <c r="N1" s="9" t="s">
        <v>35</v>
      </c>
      <c r="O1" s="9" t="s">
        <v>27</v>
      </c>
    </row>
    <row r="2" spans="1:15" x14ac:dyDescent="0.25">
      <c r="A2" s="2">
        <v>46296</v>
      </c>
      <c r="B2" s="10">
        <v>0.9583333333333334</v>
      </c>
      <c r="C2" s="10">
        <v>0.9791666666666666</v>
      </c>
      <c r="D2" s="11"/>
      <c r="E2" s="11"/>
      <c r="F2" s="11"/>
      <c r="G2" s="11"/>
      <c r="H2" s="11">
        <v>30</v>
      </c>
      <c r="I2" s="3">
        <f>IF(D2="","",IFERROR(VLOOKUP(D2,Setup!$A$2:$B$60,2,FALSE),""))</f>
      </c>
      <c r="J2" s="7">
        <f>IF(I2="","",MIN(MAX(0,IF(G2="",H2,G2)),H2))</f>
      </c>
      <c r="K2" s="5">
        <f>IF(J2="","",J2/60)</f>
      </c>
      <c r="L2" s="5">
        <f>IF(J2="","",(H2-J2)/60)</f>
      </c>
      <c r="M2" s="5">
        <f>IF(I2="Y",K2,0)</f>
      </c>
      <c r="N2" s="3">
        <f>IF(I2="Y",MAX(0,N(F2)),0)</f>
      </c>
      <c r="O2" s="5">
        <f>IF(M2&gt;0,N2/M2,"")</f>
      </c>
    </row>
    <row r="3" spans="1:15" x14ac:dyDescent="0.25">
      <c r="A3" s="2">
        <v>46296</v>
      </c>
      <c r="B3" s="10">
        <v>0.9791666666666666</v>
      </c>
      <c r="C3" s="10">
        <v>0</v>
      </c>
      <c r="D3" s="11"/>
      <c r="E3" s="11"/>
      <c r="F3" s="11"/>
      <c r="G3" s="11"/>
      <c r="H3" s="11">
        <v>30</v>
      </c>
      <c r="I3" s="3">
        <f>IF(D3="","",IFERROR(VLOOKUP(D3,Setup!$A$2:$B$60,2,FALSE),""))</f>
      </c>
      <c r="J3" s="7">
        <f>IF(I3="","",MIN(MAX(0,IF(G3="",H3,G3)),H3))</f>
      </c>
      <c r="K3" s="5">
        <f>IF(J3="","",J3/60)</f>
      </c>
      <c r="L3" s="5">
        <f>IF(J3="","",(H3-J3)/60)</f>
      </c>
      <c r="M3" s="5">
        <f>IF(I3="Y",K3,0)</f>
      </c>
      <c r="N3" s="3">
        <f>IF(I3="Y",MAX(0,N(F3)),0)</f>
      </c>
      <c r="O3" s="5">
        <f>IF(M3&gt;0,N3/M3,"")</f>
      </c>
    </row>
    <row r="4" spans="1:15" x14ac:dyDescent="0.25">
      <c r="A4" s="2">
        <v>46296</v>
      </c>
      <c r="B4" s="10">
        <v>0</v>
      </c>
      <c r="C4" s="10">
        <v>0.020833333333333332</v>
      </c>
      <c r="D4" s="11"/>
      <c r="E4" s="11"/>
      <c r="F4" s="11"/>
      <c r="G4" s="11"/>
      <c r="H4" s="11">
        <v>30</v>
      </c>
      <c r="I4" s="3">
        <f>IF(D4="","",IFERROR(VLOOKUP(D4,Setup!$A$2:$B$60,2,FALSE),""))</f>
      </c>
      <c r="J4" s="7">
        <f>IF(I4="","",MIN(MAX(0,IF(G4="",H4,G4)),H4))</f>
      </c>
      <c r="K4" s="5">
        <f>IF(J4="","",J4/60)</f>
      </c>
      <c r="L4" s="5">
        <f>IF(J4="","",(H4-J4)/60)</f>
      </c>
      <c r="M4" s="5">
        <f>IF(I4="Y",K4,0)</f>
      </c>
      <c r="N4" s="3">
        <f>IF(I4="Y",MAX(0,N(F4)),0)</f>
      </c>
      <c r="O4" s="5">
        <f>IF(M4&gt;0,N4/M4,"")</f>
      </c>
    </row>
    <row r="5" spans="1:15" x14ac:dyDescent="0.25">
      <c r="A5" s="2">
        <v>46296</v>
      </c>
      <c r="B5" s="10">
        <v>0.020833333333333332</v>
      </c>
      <c r="C5" s="10">
        <v>0.041666666666666664</v>
      </c>
      <c r="D5" s="11"/>
      <c r="E5" s="11"/>
      <c r="F5" s="11"/>
      <c r="G5" s="11"/>
      <c r="H5" s="11">
        <v>30</v>
      </c>
      <c r="I5" s="3">
        <f>IF(D5="","",IFERROR(VLOOKUP(D5,Setup!$A$2:$B$60,2,FALSE),""))</f>
      </c>
      <c r="J5" s="7">
        <f>IF(I5="","",MIN(MAX(0,IF(G5="",H5,G5)),H5))</f>
      </c>
      <c r="K5" s="5">
        <f>IF(J5="","",J5/60)</f>
      </c>
      <c r="L5" s="5">
        <f>IF(J5="","",(H5-J5)/60)</f>
      </c>
      <c r="M5" s="5">
        <f>IF(I5="Y",K5,0)</f>
      </c>
      <c r="N5" s="3">
        <f>IF(I5="Y",MAX(0,N(F5)),0)</f>
      </c>
      <c r="O5" s="5">
        <f>IF(M5&gt;0,N5/M5,"")</f>
      </c>
    </row>
    <row r="6" spans="1:15" x14ac:dyDescent="0.25">
      <c r="A6" s="2">
        <v>46296</v>
      </c>
      <c r="B6" s="10">
        <v>0.041666666666666664</v>
      </c>
      <c r="C6" s="10">
        <v>0.0625</v>
      </c>
      <c r="D6" s="11"/>
      <c r="E6" s="11"/>
      <c r="F6" s="11"/>
      <c r="G6" s="11"/>
      <c r="H6" s="11">
        <v>30</v>
      </c>
      <c r="I6" s="3">
        <f>IF(D6="","",IFERROR(VLOOKUP(D6,Setup!$A$2:$B$60,2,FALSE),""))</f>
      </c>
      <c r="J6" s="7">
        <f>IF(I6="","",MIN(MAX(0,IF(G6="",H6,G6)),H6))</f>
      </c>
      <c r="K6" s="5">
        <f>IF(J6="","",J6/60)</f>
      </c>
      <c r="L6" s="5">
        <f>IF(J6="","",(H6-J6)/60)</f>
      </c>
      <c r="M6" s="5">
        <f>IF(I6="Y",K6,0)</f>
      </c>
      <c r="N6" s="3">
        <f>IF(I6="Y",MAX(0,N(F6)),0)</f>
      </c>
      <c r="O6" s="5">
        <f>IF(M6&gt;0,N6/M6,"")</f>
      </c>
    </row>
    <row r="7" spans="1:15" x14ac:dyDescent="0.25">
      <c r="A7" s="2">
        <v>46296</v>
      </c>
      <c r="B7" s="10">
        <v>0.0625</v>
      </c>
      <c r="C7" s="10">
        <v>0.08333333333333333</v>
      </c>
      <c r="D7" s="11"/>
      <c r="E7" s="11"/>
      <c r="F7" s="11"/>
      <c r="G7" s="11"/>
      <c r="H7" s="11">
        <v>30</v>
      </c>
      <c r="I7" s="3">
        <f>IF(D7="","",IFERROR(VLOOKUP(D7,Setup!$A$2:$B$60,2,FALSE),""))</f>
      </c>
      <c r="J7" s="7">
        <f>IF(I7="","",MIN(MAX(0,IF(G7="",H7,G7)),H7))</f>
      </c>
      <c r="K7" s="5">
        <f>IF(J7="","",J7/60)</f>
      </c>
      <c r="L7" s="5">
        <f>IF(J7="","",(H7-J7)/60)</f>
      </c>
      <c r="M7" s="5">
        <f>IF(I7="Y",K7,0)</f>
      </c>
      <c r="N7" s="3">
        <f>IF(I7="Y",MAX(0,N(F7)),0)</f>
      </c>
      <c r="O7" s="5">
        <f>IF(M7&gt;0,N7/M7,"")</f>
      </c>
    </row>
    <row r="8" spans="1:15" x14ac:dyDescent="0.25">
      <c r="A8" s="2">
        <v>46296</v>
      </c>
      <c r="B8" s="10">
        <v>0.08333333333333333</v>
      </c>
      <c r="C8" s="10">
        <v>0.10416666666666667</v>
      </c>
      <c r="D8" s="11"/>
      <c r="E8" s="11"/>
      <c r="F8" s="11"/>
      <c r="G8" s="11"/>
      <c r="H8" s="11">
        <v>30</v>
      </c>
      <c r="I8" s="3">
        <f>IF(D8="","",IFERROR(VLOOKUP(D8,Setup!$A$2:$B$60,2,FALSE),""))</f>
      </c>
      <c r="J8" s="7">
        <f>IF(I8="","",MIN(MAX(0,IF(G8="",H8,G8)),H8))</f>
      </c>
      <c r="K8" s="5">
        <f>IF(J8="","",J8/60)</f>
      </c>
      <c r="L8" s="5">
        <f>IF(J8="","",(H8-J8)/60)</f>
      </c>
      <c r="M8" s="5">
        <f>IF(I8="Y",K8,0)</f>
      </c>
      <c r="N8" s="3">
        <f>IF(I8="Y",MAX(0,N(F8)),0)</f>
      </c>
      <c r="O8" s="5">
        <f>IF(M8&gt;0,N8/M8,"")</f>
      </c>
    </row>
    <row r="9" spans="1:15" x14ac:dyDescent="0.25">
      <c r="A9" s="2">
        <v>46296</v>
      </c>
      <c r="B9" s="10">
        <v>0.10416666666666667</v>
      </c>
      <c r="C9" s="10">
        <v>0.125</v>
      </c>
      <c r="D9" s="11"/>
      <c r="E9" s="11"/>
      <c r="F9" s="11"/>
      <c r="G9" s="11"/>
      <c r="H9" s="11">
        <v>30</v>
      </c>
      <c r="I9" s="3">
        <f>IF(D9="","",IFERROR(VLOOKUP(D9,Setup!$A$2:$B$60,2,FALSE),""))</f>
      </c>
      <c r="J9" s="7">
        <f>IF(I9="","",MIN(MAX(0,IF(G9="",H9,G9)),H9))</f>
      </c>
      <c r="K9" s="5">
        <f>IF(J9="","",J9/60)</f>
      </c>
      <c r="L9" s="5">
        <f>IF(J9="","",(H9-J9)/60)</f>
      </c>
      <c r="M9" s="5">
        <f>IF(I9="Y",K9,0)</f>
      </c>
      <c r="N9" s="3">
        <f>IF(I9="Y",MAX(0,N(F9)),0)</f>
      </c>
      <c r="O9" s="5">
        <f>IF(M9&gt;0,N9/M9,"")</f>
      </c>
    </row>
    <row r="10" spans="1:15" x14ac:dyDescent="0.25">
      <c r="A10" s="2">
        <v>46296</v>
      </c>
      <c r="B10" s="10">
        <v>0.125</v>
      </c>
      <c r="C10" s="10">
        <v>0.14583333333333334</v>
      </c>
      <c r="D10" s="11"/>
      <c r="E10" s="11"/>
      <c r="F10" s="11"/>
      <c r="G10" s="11"/>
      <c r="H10" s="11">
        <v>30</v>
      </c>
      <c r="I10" s="3">
        <f>IF(D10="","",IFERROR(VLOOKUP(D10,Setup!$A$2:$B$60,2,FALSE),""))</f>
      </c>
      <c r="J10" s="7">
        <f>IF(I10="","",MIN(MAX(0,IF(G10="",H10,G10)),H10))</f>
      </c>
      <c r="K10" s="5">
        <f>IF(J10="","",J10/60)</f>
      </c>
      <c r="L10" s="5">
        <f>IF(J10="","",(H10-J10)/60)</f>
      </c>
      <c r="M10" s="5">
        <f>IF(I10="Y",K10,0)</f>
      </c>
      <c r="N10" s="3">
        <f>IF(I10="Y",MAX(0,N(F10)),0)</f>
      </c>
      <c r="O10" s="5">
        <f>IF(M10&gt;0,N10/M10,"")</f>
      </c>
    </row>
    <row r="11" spans="1:15" x14ac:dyDescent="0.25">
      <c r="A11" s="2">
        <v>46296</v>
      </c>
      <c r="B11" s="10">
        <v>0.14583333333333334</v>
      </c>
      <c r="C11" s="10">
        <v>0.16666666666666666</v>
      </c>
      <c r="D11" s="11"/>
      <c r="E11" s="11"/>
      <c r="F11" s="11"/>
      <c r="G11" s="11"/>
      <c r="H11" s="11">
        <v>30</v>
      </c>
      <c r="I11" s="3">
        <f>IF(D11="","",IFERROR(VLOOKUP(D11,Setup!$A$2:$B$60,2,FALSE),""))</f>
      </c>
      <c r="J11" s="7">
        <f>IF(I11="","",MIN(MAX(0,IF(G11="",H11,G11)),H11))</f>
      </c>
      <c r="K11" s="5">
        <f>IF(J11="","",J11/60)</f>
      </c>
      <c r="L11" s="5">
        <f>IF(J11="","",(H11-J11)/60)</f>
      </c>
      <c r="M11" s="5">
        <f>IF(I11="Y",K11,0)</f>
      </c>
      <c r="N11" s="3">
        <f>IF(I11="Y",MAX(0,N(F11)),0)</f>
      </c>
      <c r="O11" s="5">
        <f>IF(M11&gt;0,N11/M11,"")</f>
      </c>
    </row>
    <row r="12" spans="1:15" x14ac:dyDescent="0.25">
      <c r="A12" s="2">
        <v>46296</v>
      </c>
      <c r="B12" s="10">
        <v>0.16666666666666666</v>
      </c>
      <c r="C12" s="10">
        <v>0.1875</v>
      </c>
      <c r="D12" s="11"/>
      <c r="E12" s="11"/>
      <c r="F12" s="11"/>
      <c r="G12" s="11"/>
      <c r="H12" s="11">
        <v>30</v>
      </c>
      <c r="I12" s="3">
        <f>IF(D12="","",IFERROR(VLOOKUP(D12,Setup!$A$2:$B$60,2,FALSE),""))</f>
      </c>
      <c r="J12" s="7">
        <f>IF(I12="","",MIN(MAX(0,IF(G12="",H12,G12)),H12))</f>
      </c>
      <c r="K12" s="5">
        <f>IF(J12="","",J12/60)</f>
      </c>
      <c r="L12" s="5">
        <f>IF(J12="","",(H12-J12)/60)</f>
      </c>
      <c r="M12" s="5">
        <f>IF(I12="Y",K12,0)</f>
      </c>
      <c r="N12" s="3">
        <f>IF(I12="Y",MAX(0,N(F12)),0)</f>
      </c>
      <c r="O12" s="5">
        <f>IF(M12&gt;0,N12/M12,"")</f>
      </c>
    </row>
    <row r="13" spans="1:15" x14ac:dyDescent="0.25">
      <c r="A13" s="2">
        <v>46296</v>
      </c>
      <c r="B13" s="10">
        <v>0.1875</v>
      </c>
      <c r="C13" s="10">
        <v>0.20833333333333334</v>
      </c>
      <c r="D13" s="11"/>
      <c r="E13" s="11"/>
      <c r="F13" s="11"/>
      <c r="G13" s="11"/>
      <c r="H13" s="11">
        <v>30</v>
      </c>
      <c r="I13" s="3">
        <f>IF(D13="","",IFERROR(VLOOKUP(D13,Setup!$A$2:$B$60,2,FALSE),""))</f>
      </c>
      <c r="J13" s="7">
        <f>IF(I13="","",MIN(MAX(0,IF(G13="",H13,G13)),H13))</f>
      </c>
      <c r="K13" s="5">
        <f>IF(J13="","",J13/60)</f>
      </c>
      <c r="L13" s="5">
        <f>IF(J13="","",(H13-J13)/60)</f>
      </c>
      <c r="M13" s="5">
        <f>IF(I13="Y",K13,0)</f>
      </c>
      <c r="N13" s="3">
        <f>IF(I13="Y",MAX(0,N(F13)),0)</f>
      </c>
      <c r="O13" s="5">
        <f>IF(M13&gt;0,N13/M13,"")</f>
      </c>
    </row>
    <row r="14" spans="1:15" x14ac:dyDescent="0.25">
      <c r="A14" s="2">
        <v>46296</v>
      </c>
      <c r="B14" s="10">
        <v>0.20833333333333334</v>
      </c>
      <c r="C14" s="10">
        <v>0.22916666666666666</v>
      </c>
      <c r="D14" s="11"/>
      <c r="E14" s="11"/>
      <c r="F14" s="11"/>
      <c r="G14" s="11"/>
      <c r="H14" s="11">
        <v>30</v>
      </c>
      <c r="I14" s="3">
        <f>IF(D14="","",IFERROR(VLOOKUP(D14,Setup!$A$2:$B$60,2,FALSE),""))</f>
      </c>
      <c r="J14" s="7">
        <f>IF(I14="","",MIN(MAX(0,IF(G14="",H14,G14)),H14))</f>
      </c>
      <c r="K14" s="5">
        <f>IF(J14="","",J14/60)</f>
      </c>
      <c r="L14" s="5">
        <f>IF(J14="","",(H14-J14)/60)</f>
      </c>
      <c r="M14" s="5">
        <f>IF(I14="Y",K14,0)</f>
      </c>
      <c r="N14" s="3">
        <f>IF(I14="Y",MAX(0,N(F14)),0)</f>
      </c>
      <c r="O14" s="5">
        <f>IF(M14&gt;0,N14/M14,"")</f>
      </c>
    </row>
    <row r="15" spans="1:15" x14ac:dyDescent="0.25">
      <c r="A15" s="2">
        <v>46296</v>
      </c>
      <c r="B15" s="10">
        <v>0.22916666666666666</v>
      </c>
      <c r="C15" s="10">
        <v>0.25</v>
      </c>
      <c r="D15" s="11"/>
      <c r="E15" s="11"/>
      <c r="F15" s="11"/>
      <c r="G15" s="11"/>
      <c r="H15" s="11">
        <v>30</v>
      </c>
      <c r="I15" s="3">
        <f>IF(D15="","",IFERROR(VLOOKUP(D15,Setup!$A$2:$B$60,2,FALSE),""))</f>
      </c>
      <c r="J15" s="7">
        <f>IF(I15="","",MIN(MAX(0,IF(G15="",H15,G15)),H15))</f>
      </c>
      <c r="K15" s="5">
        <f>IF(J15="","",J15/60)</f>
      </c>
      <c r="L15" s="5">
        <f>IF(J15="","",(H15-J15)/60)</f>
      </c>
      <c r="M15" s="5">
        <f>IF(I15="Y",K15,0)</f>
      </c>
      <c r="N15" s="3">
        <f>IF(I15="Y",MAX(0,N(F15)),0)</f>
      </c>
      <c r="O15" s="5">
        <f>IF(M15&gt;0,N15/M15,"")</f>
      </c>
    </row>
    <row r="16" spans="1:15" x14ac:dyDescent="0.25">
      <c r="A16" s="2">
        <v>46296</v>
      </c>
      <c r="B16" s="10">
        <v>0.25</v>
      </c>
      <c r="C16" s="10">
        <v>0.2708333333333333</v>
      </c>
      <c r="D16" s="11"/>
      <c r="E16" s="11"/>
      <c r="F16" s="11"/>
      <c r="G16" s="11"/>
      <c r="H16" s="11">
        <v>30</v>
      </c>
      <c r="I16" s="3">
        <f>IF(D16="","",IFERROR(VLOOKUP(D16,Setup!$A$2:$B$60,2,FALSE),""))</f>
      </c>
      <c r="J16" s="7">
        <f>IF(I16="","",MIN(MAX(0,IF(G16="",H16,G16)),H16))</f>
      </c>
      <c r="K16" s="5">
        <f>IF(J16="","",J16/60)</f>
      </c>
      <c r="L16" s="5">
        <f>IF(J16="","",(H16-J16)/60)</f>
      </c>
      <c r="M16" s="5">
        <f>IF(I16="Y",K16,0)</f>
      </c>
      <c r="N16" s="3">
        <f>IF(I16="Y",MAX(0,N(F16)),0)</f>
      </c>
      <c r="O16" s="5">
        <f>IF(M16&gt;0,N16/M16,"")</f>
      </c>
    </row>
    <row r="17" spans="1:15" x14ac:dyDescent="0.25">
      <c r="A17" s="2">
        <v>46296</v>
      </c>
      <c r="B17" s="10">
        <v>0.2708333333333333</v>
      </c>
      <c r="C17" s="10">
        <v>0.2916666666666667</v>
      </c>
      <c r="D17" s="11"/>
      <c r="E17" s="11"/>
      <c r="F17" s="11"/>
      <c r="G17" s="11"/>
      <c r="H17" s="11">
        <v>30</v>
      </c>
      <c r="I17" s="3">
        <f>IF(D17="","",IFERROR(VLOOKUP(D17,Setup!$A$2:$B$60,2,FALSE),""))</f>
      </c>
      <c r="J17" s="7">
        <f>IF(I17="","",MIN(MAX(0,IF(G17="",H17,G17)),H17))</f>
      </c>
      <c r="K17" s="5">
        <f>IF(J17="","",J17/60)</f>
      </c>
      <c r="L17" s="5">
        <f>IF(J17="","",(H17-J17)/60)</f>
      </c>
      <c r="M17" s="5">
        <f>IF(I17="Y",K17,0)</f>
      </c>
      <c r="N17" s="3">
        <f>IF(I17="Y",MAX(0,N(F17)),0)</f>
      </c>
      <c r="O17" s="5">
        <f>IF(M17&gt;0,N17/M17,"")</f>
      </c>
    </row>
    <row r="18" spans="1:15" x14ac:dyDescent="0.25">
      <c r="A18" s="2">
        <v>46296</v>
      </c>
      <c r="B18" s="10">
        <v>0.2916666666666667</v>
      </c>
      <c r="C18" s="10">
        <v>0.3125</v>
      </c>
      <c r="D18" s="11"/>
      <c r="E18" s="11"/>
      <c r="F18" s="11"/>
      <c r="G18" s="11"/>
      <c r="H18" s="11">
        <v>30</v>
      </c>
      <c r="I18" s="3">
        <f>IF(D18="","",IFERROR(VLOOKUP(D18,Setup!$A$2:$B$60,2,FALSE),""))</f>
      </c>
      <c r="J18" s="7">
        <f>IF(I18="","",MIN(MAX(0,IF(G18="",H18,G18)),H18))</f>
      </c>
      <c r="K18" s="5">
        <f>IF(J18="","",J18/60)</f>
      </c>
      <c r="L18" s="5">
        <f>IF(J18="","",(H18-J18)/60)</f>
      </c>
      <c r="M18" s="5">
        <f>IF(I18="Y",K18,0)</f>
      </c>
      <c r="N18" s="3">
        <f>IF(I18="Y",MAX(0,N(F18)),0)</f>
      </c>
      <c r="O18" s="5">
        <f>IF(M18&gt;0,N18/M18,"")</f>
      </c>
    </row>
    <row r="19" spans="1:15" x14ac:dyDescent="0.25">
      <c r="A19" s="2">
        <v>46296</v>
      </c>
      <c r="B19" s="10">
        <v>0.3125</v>
      </c>
      <c r="C19" s="10">
        <v>0.3333333333333333</v>
      </c>
      <c r="D19" s="11"/>
      <c r="E19" s="11"/>
      <c r="F19" s="11"/>
      <c r="G19" s="11"/>
      <c r="H19" s="11">
        <v>30</v>
      </c>
      <c r="I19" s="3">
        <f>IF(D19="","",IFERROR(VLOOKUP(D19,Setup!$A$2:$B$60,2,FALSE),""))</f>
      </c>
      <c r="J19" s="7">
        <f>IF(I19="","",MIN(MAX(0,IF(G19="",H19,G19)),H19))</f>
      </c>
      <c r="K19" s="5">
        <f>IF(J19="","",J19/60)</f>
      </c>
      <c r="L19" s="5">
        <f>IF(J19="","",(H19-J19)/60)</f>
      </c>
      <c r="M19" s="5">
        <f>IF(I19="Y",K19,0)</f>
      </c>
      <c r="N19" s="3">
        <f>IF(I19="Y",MAX(0,N(F19)),0)</f>
      </c>
      <c r="O19" s="5">
        <f>IF(M19&gt;0,N19/M19,"")</f>
      </c>
    </row>
    <row r="20" spans="1:15" x14ac:dyDescent="0.25">
      <c r="A20" s="2">
        <v>46297</v>
      </c>
      <c r="B20" s="10">
        <v>0.9583333333333334</v>
      </c>
      <c r="C20" s="10">
        <v>0.9791666666666666</v>
      </c>
      <c r="D20" s="11"/>
      <c r="E20" s="11"/>
      <c r="F20" s="11"/>
      <c r="G20" s="11"/>
      <c r="H20" s="11">
        <v>30</v>
      </c>
      <c r="I20" s="3">
        <f>IF(D20="","",IFERROR(VLOOKUP(D20,Setup!$A$2:$B$60,2,FALSE),""))</f>
      </c>
      <c r="J20" s="7">
        <f>IF(I20="","",MIN(MAX(0,IF(G20="",H20,G20)),H20))</f>
      </c>
      <c r="K20" s="5">
        <f>IF(J20="","",J20/60)</f>
      </c>
      <c r="L20" s="5">
        <f>IF(J20="","",(H20-J20)/60)</f>
      </c>
      <c r="M20" s="5">
        <f>IF(I20="Y",K20,0)</f>
      </c>
      <c r="N20" s="3">
        <f>IF(I20="Y",MAX(0,N(F20)),0)</f>
      </c>
      <c r="O20" s="5">
        <f>IF(M20&gt;0,N20/M20,"")</f>
      </c>
    </row>
    <row r="21" spans="1:15" x14ac:dyDescent="0.25">
      <c r="A21" s="2">
        <v>46297</v>
      </c>
      <c r="B21" s="10">
        <v>0.9791666666666666</v>
      </c>
      <c r="C21" s="10">
        <v>0</v>
      </c>
      <c r="D21" s="11"/>
      <c r="E21" s="11"/>
      <c r="F21" s="11"/>
      <c r="G21" s="11"/>
      <c r="H21" s="11">
        <v>30</v>
      </c>
      <c r="I21" s="3">
        <f>IF(D21="","",IFERROR(VLOOKUP(D21,Setup!$A$2:$B$60,2,FALSE),""))</f>
      </c>
      <c r="J21" s="7">
        <f>IF(I21="","",MIN(MAX(0,IF(G21="",H21,G21)),H21))</f>
      </c>
      <c r="K21" s="5">
        <f>IF(J21="","",J21/60)</f>
      </c>
      <c r="L21" s="5">
        <f>IF(J21="","",(H21-J21)/60)</f>
      </c>
      <c r="M21" s="5">
        <f>IF(I21="Y",K21,0)</f>
      </c>
      <c r="N21" s="3">
        <f>IF(I21="Y",MAX(0,N(F21)),0)</f>
      </c>
      <c r="O21" s="5">
        <f>IF(M21&gt;0,N21/M21,"")</f>
      </c>
    </row>
    <row r="22" spans="1:15" x14ac:dyDescent="0.25">
      <c r="A22" s="2">
        <v>46297</v>
      </c>
      <c r="B22" s="10">
        <v>0</v>
      </c>
      <c r="C22" s="10">
        <v>0.020833333333333332</v>
      </c>
      <c r="D22" s="11"/>
      <c r="E22" s="11"/>
      <c r="F22" s="11"/>
      <c r="G22" s="11"/>
      <c r="H22" s="11">
        <v>30</v>
      </c>
      <c r="I22" s="3">
        <f>IF(D22="","",IFERROR(VLOOKUP(D22,Setup!$A$2:$B$60,2,FALSE),""))</f>
      </c>
      <c r="J22" s="7">
        <f>IF(I22="","",MIN(MAX(0,IF(G22="",H22,G22)),H22))</f>
      </c>
      <c r="K22" s="5">
        <f>IF(J22="","",J22/60)</f>
      </c>
      <c r="L22" s="5">
        <f>IF(J22="","",(H22-J22)/60)</f>
      </c>
      <c r="M22" s="5">
        <f>IF(I22="Y",K22,0)</f>
      </c>
      <c r="N22" s="3">
        <f>IF(I22="Y",MAX(0,N(F22)),0)</f>
      </c>
      <c r="O22" s="5">
        <f>IF(M22&gt;0,N22/M22,"")</f>
      </c>
    </row>
    <row r="23" spans="1:15" x14ac:dyDescent="0.25">
      <c r="A23" s="2">
        <v>46297</v>
      </c>
      <c r="B23" s="10">
        <v>0.020833333333333332</v>
      </c>
      <c r="C23" s="10">
        <v>0.041666666666666664</v>
      </c>
      <c r="D23" s="11"/>
      <c r="E23" s="11"/>
      <c r="F23" s="11"/>
      <c r="G23" s="11"/>
      <c r="H23" s="11">
        <v>30</v>
      </c>
      <c r="I23" s="3">
        <f>IF(D23="","",IFERROR(VLOOKUP(D23,Setup!$A$2:$B$60,2,FALSE),""))</f>
      </c>
      <c r="J23" s="7">
        <f>IF(I23="","",MIN(MAX(0,IF(G23="",H23,G23)),H23))</f>
      </c>
      <c r="K23" s="5">
        <f>IF(J23="","",J23/60)</f>
      </c>
      <c r="L23" s="5">
        <f>IF(J23="","",(H23-J23)/60)</f>
      </c>
      <c r="M23" s="5">
        <f>IF(I23="Y",K23,0)</f>
      </c>
      <c r="N23" s="3">
        <f>IF(I23="Y",MAX(0,N(F23)),0)</f>
      </c>
      <c r="O23" s="5">
        <f>IF(M23&gt;0,N23/M23,"")</f>
      </c>
    </row>
    <row r="24" spans="1:15" x14ac:dyDescent="0.25">
      <c r="A24" s="2">
        <v>46297</v>
      </c>
      <c r="B24" s="10">
        <v>0.041666666666666664</v>
      </c>
      <c r="C24" s="10">
        <v>0.0625</v>
      </c>
      <c r="D24" s="11"/>
      <c r="E24" s="11"/>
      <c r="F24" s="11"/>
      <c r="G24" s="11"/>
      <c r="H24" s="11">
        <v>30</v>
      </c>
      <c r="I24" s="3">
        <f>IF(D24="","",IFERROR(VLOOKUP(D24,Setup!$A$2:$B$60,2,FALSE),""))</f>
      </c>
      <c r="J24" s="7">
        <f>IF(I24="","",MIN(MAX(0,IF(G24="",H24,G24)),H24))</f>
      </c>
      <c r="K24" s="5">
        <f>IF(J24="","",J24/60)</f>
      </c>
      <c r="L24" s="5">
        <f>IF(J24="","",(H24-J24)/60)</f>
      </c>
      <c r="M24" s="5">
        <f>IF(I24="Y",K24,0)</f>
      </c>
      <c r="N24" s="3">
        <f>IF(I24="Y",MAX(0,N(F24)),0)</f>
      </c>
      <c r="O24" s="5">
        <f>IF(M24&gt;0,N24/M24,"")</f>
      </c>
    </row>
    <row r="25" spans="1:15" x14ac:dyDescent="0.25">
      <c r="A25" s="2">
        <v>46297</v>
      </c>
      <c r="B25" s="10">
        <v>0.0625</v>
      </c>
      <c r="C25" s="10">
        <v>0.08333333333333333</v>
      </c>
      <c r="D25" s="11"/>
      <c r="E25" s="11"/>
      <c r="F25" s="11"/>
      <c r="G25" s="11"/>
      <c r="H25" s="11">
        <v>30</v>
      </c>
      <c r="I25" s="3">
        <f>IF(D25="","",IFERROR(VLOOKUP(D25,Setup!$A$2:$B$60,2,FALSE),""))</f>
      </c>
      <c r="J25" s="7">
        <f>IF(I25="","",MIN(MAX(0,IF(G25="",H25,G25)),H25))</f>
      </c>
      <c r="K25" s="5">
        <f>IF(J25="","",J25/60)</f>
      </c>
      <c r="L25" s="5">
        <f>IF(J25="","",(H25-J25)/60)</f>
      </c>
      <c r="M25" s="5">
        <f>IF(I25="Y",K25,0)</f>
      </c>
      <c r="N25" s="3">
        <f>IF(I25="Y",MAX(0,N(F25)),0)</f>
      </c>
      <c r="O25" s="5">
        <f>IF(M25&gt;0,N25/M25,"")</f>
      </c>
    </row>
    <row r="26" spans="1:15" x14ac:dyDescent="0.25">
      <c r="A26" s="2">
        <v>46297</v>
      </c>
      <c r="B26" s="10">
        <v>0.08333333333333333</v>
      </c>
      <c r="C26" s="10">
        <v>0.10416666666666667</v>
      </c>
      <c r="D26" s="11"/>
      <c r="E26" s="11"/>
      <c r="F26" s="11"/>
      <c r="G26" s="11"/>
      <c r="H26" s="11">
        <v>30</v>
      </c>
      <c r="I26" s="3">
        <f>IF(D26="","",IFERROR(VLOOKUP(D26,Setup!$A$2:$B$60,2,FALSE),""))</f>
      </c>
      <c r="J26" s="7">
        <f>IF(I26="","",MIN(MAX(0,IF(G26="",H26,G26)),H26))</f>
      </c>
      <c r="K26" s="5">
        <f>IF(J26="","",J26/60)</f>
      </c>
      <c r="L26" s="5">
        <f>IF(J26="","",(H26-J26)/60)</f>
      </c>
      <c r="M26" s="5">
        <f>IF(I26="Y",K26,0)</f>
      </c>
      <c r="N26" s="3">
        <f>IF(I26="Y",MAX(0,N(F26)),0)</f>
      </c>
      <c r="O26" s="5">
        <f>IF(M26&gt;0,N26/M26,"")</f>
      </c>
    </row>
    <row r="27" spans="1:15" x14ac:dyDescent="0.25">
      <c r="A27" s="2">
        <v>46297</v>
      </c>
      <c r="B27" s="10">
        <v>0.10416666666666667</v>
      </c>
      <c r="C27" s="10">
        <v>0.125</v>
      </c>
      <c r="D27" s="11"/>
      <c r="E27" s="11"/>
      <c r="F27" s="11"/>
      <c r="G27" s="11"/>
      <c r="H27" s="11">
        <v>30</v>
      </c>
      <c r="I27" s="3">
        <f>IF(D27="","",IFERROR(VLOOKUP(D27,Setup!$A$2:$B$60,2,FALSE),""))</f>
      </c>
      <c r="J27" s="7">
        <f>IF(I27="","",MIN(MAX(0,IF(G27="",H27,G27)),H27))</f>
      </c>
      <c r="K27" s="5">
        <f>IF(J27="","",J27/60)</f>
      </c>
      <c r="L27" s="5">
        <f>IF(J27="","",(H27-J27)/60)</f>
      </c>
      <c r="M27" s="5">
        <f>IF(I27="Y",K27,0)</f>
      </c>
      <c r="N27" s="3">
        <f>IF(I27="Y",MAX(0,N(F27)),0)</f>
      </c>
      <c r="O27" s="5">
        <f>IF(M27&gt;0,N27/M27,"")</f>
      </c>
    </row>
    <row r="28" spans="1:15" x14ac:dyDescent="0.25">
      <c r="A28" s="2">
        <v>46297</v>
      </c>
      <c r="B28" s="10">
        <v>0.125</v>
      </c>
      <c r="C28" s="10">
        <v>0.14583333333333334</v>
      </c>
      <c r="D28" s="11"/>
      <c r="E28" s="11"/>
      <c r="F28" s="11"/>
      <c r="G28" s="11"/>
      <c r="H28" s="11">
        <v>30</v>
      </c>
      <c r="I28" s="3">
        <f>IF(D28="","",IFERROR(VLOOKUP(D28,Setup!$A$2:$B$60,2,FALSE),""))</f>
      </c>
      <c r="J28" s="7">
        <f>IF(I28="","",MIN(MAX(0,IF(G28="",H28,G28)),H28))</f>
      </c>
      <c r="K28" s="5">
        <f>IF(J28="","",J28/60)</f>
      </c>
      <c r="L28" s="5">
        <f>IF(J28="","",(H28-J28)/60)</f>
      </c>
      <c r="M28" s="5">
        <f>IF(I28="Y",K28,0)</f>
      </c>
      <c r="N28" s="3">
        <f>IF(I28="Y",MAX(0,N(F28)),0)</f>
      </c>
      <c r="O28" s="5">
        <f>IF(M28&gt;0,N28/M28,"")</f>
      </c>
    </row>
    <row r="29" spans="1:15" x14ac:dyDescent="0.25">
      <c r="A29" s="2">
        <v>46297</v>
      </c>
      <c r="B29" s="10">
        <v>0.14583333333333334</v>
      </c>
      <c r="C29" s="10">
        <v>0.16666666666666666</v>
      </c>
      <c r="D29" s="11"/>
      <c r="E29" s="11"/>
      <c r="F29" s="11"/>
      <c r="G29" s="11"/>
      <c r="H29" s="11">
        <v>30</v>
      </c>
      <c r="I29" s="3">
        <f>IF(D29="","",IFERROR(VLOOKUP(D29,Setup!$A$2:$B$60,2,FALSE),""))</f>
      </c>
      <c r="J29" s="7">
        <f>IF(I29="","",MIN(MAX(0,IF(G29="",H29,G29)),H29))</f>
      </c>
      <c r="K29" s="5">
        <f>IF(J29="","",J29/60)</f>
      </c>
      <c r="L29" s="5">
        <f>IF(J29="","",(H29-J29)/60)</f>
      </c>
      <c r="M29" s="5">
        <f>IF(I29="Y",K29,0)</f>
      </c>
      <c r="N29" s="3">
        <f>IF(I29="Y",MAX(0,N(F29)),0)</f>
      </c>
      <c r="O29" s="5">
        <f>IF(M29&gt;0,N29/M29,"")</f>
      </c>
    </row>
    <row r="30" spans="1:15" x14ac:dyDescent="0.25">
      <c r="A30" s="2">
        <v>46297</v>
      </c>
      <c r="B30" s="10">
        <v>0.16666666666666666</v>
      </c>
      <c r="C30" s="10">
        <v>0.1875</v>
      </c>
      <c r="D30" s="11"/>
      <c r="E30" s="11"/>
      <c r="F30" s="11"/>
      <c r="G30" s="11"/>
      <c r="H30" s="11">
        <v>30</v>
      </c>
      <c r="I30" s="3">
        <f>IF(D30="","",IFERROR(VLOOKUP(D30,Setup!$A$2:$B$60,2,FALSE),""))</f>
      </c>
      <c r="J30" s="7">
        <f>IF(I30="","",MIN(MAX(0,IF(G30="",H30,G30)),H30))</f>
      </c>
      <c r="K30" s="5">
        <f>IF(J30="","",J30/60)</f>
      </c>
      <c r="L30" s="5">
        <f>IF(J30="","",(H30-J30)/60)</f>
      </c>
      <c r="M30" s="5">
        <f>IF(I30="Y",K30,0)</f>
      </c>
      <c r="N30" s="3">
        <f>IF(I30="Y",MAX(0,N(F30)),0)</f>
      </c>
      <c r="O30" s="5">
        <f>IF(M30&gt;0,N30/M30,"")</f>
      </c>
    </row>
    <row r="31" spans="1:15" x14ac:dyDescent="0.25">
      <c r="A31" s="2">
        <v>46297</v>
      </c>
      <c r="B31" s="10">
        <v>0.1875</v>
      </c>
      <c r="C31" s="10">
        <v>0.20833333333333334</v>
      </c>
      <c r="D31" s="11"/>
      <c r="E31" s="11"/>
      <c r="F31" s="11"/>
      <c r="G31" s="11"/>
      <c r="H31" s="11">
        <v>30</v>
      </c>
      <c r="I31" s="3">
        <f>IF(D31="","",IFERROR(VLOOKUP(D31,Setup!$A$2:$B$60,2,FALSE),""))</f>
      </c>
      <c r="J31" s="7">
        <f>IF(I31="","",MIN(MAX(0,IF(G31="",H31,G31)),H31))</f>
      </c>
      <c r="K31" s="5">
        <f>IF(J31="","",J31/60)</f>
      </c>
      <c r="L31" s="5">
        <f>IF(J31="","",(H31-J31)/60)</f>
      </c>
      <c r="M31" s="5">
        <f>IF(I31="Y",K31,0)</f>
      </c>
      <c r="N31" s="3">
        <f>IF(I31="Y",MAX(0,N(F31)),0)</f>
      </c>
      <c r="O31" s="5">
        <f>IF(M31&gt;0,N31/M31,"")</f>
      </c>
    </row>
    <row r="32" spans="1:15" x14ac:dyDescent="0.25">
      <c r="A32" s="2">
        <v>46297</v>
      </c>
      <c r="B32" s="10">
        <v>0.20833333333333334</v>
      </c>
      <c r="C32" s="10">
        <v>0.22916666666666666</v>
      </c>
      <c r="D32" s="11"/>
      <c r="E32" s="11"/>
      <c r="F32" s="11"/>
      <c r="G32" s="11"/>
      <c r="H32" s="11">
        <v>30</v>
      </c>
      <c r="I32" s="3">
        <f>IF(D32="","",IFERROR(VLOOKUP(D32,Setup!$A$2:$B$60,2,FALSE),""))</f>
      </c>
      <c r="J32" s="7">
        <f>IF(I32="","",MIN(MAX(0,IF(G32="",H32,G32)),H32))</f>
      </c>
      <c r="K32" s="5">
        <f>IF(J32="","",J32/60)</f>
      </c>
      <c r="L32" s="5">
        <f>IF(J32="","",(H32-J32)/60)</f>
      </c>
      <c r="M32" s="5">
        <f>IF(I32="Y",K32,0)</f>
      </c>
      <c r="N32" s="3">
        <f>IF(I32="Y",MAX(0,N(F32)),0)</f>
      </c>
      <c r="O32" s="5">
        <f>IF(M32&gt;0,N32/M32,"")</f>
      </c>
    </row>
    <row r="33" spans="1:15" x14ac:dyDescent="0.25">
      <c r="A33" s="2">
        <v>46297</v>
      </c>
      <c r="B33" s="10">
        <v>0.22916666666666666</v>
      </c>
      <c r="C33" s="10">
        <v>0.25</v>
      </c>
      <c r="D33" s="11"/>
      <c r="E33" s="11"/>
      <c r="F33" s="11"/>
      <c r="G33" s="11"/>
      <c r="H33" s="11">
        <v>30</v>
      </c>
      <c r="I33" s="3">
        <f>IF(D33="","",IFERROR(VLOOKUP(D33,Setup!$A$2:$B$60,2,FALSE),""))</f>
      </c>
      <c r="J33" s="7">
        <f>IF(I33="","",MIN(MAX(0,IF(G33="",H33,G33)),H33))</f>
      </c>
      <c r="K33" s="5">
        <f>IF(J33="","",J33/60)</f>
      </c>
      <c r="L33" s="5">
        <f>IF(J33="","",(H33-J33)/60)</f>
      </c>
      <c r="M33" s="5">
        <f>IF(I33="Y",K33,0)</f>
      </c>
      <c r="N33" s="3">
        <f>IF(I33="Y",MAX(0,N(F33)),0)</f>
      </c>
      <c r="O33" s="5">
        <f>IF(M33&gt;0,N33/M33,"")</f>
      </c>
    </row>
    <row r="34" spans="1:15" x14ac:dyDescent="0.25">
      <c r="A34" s="2">
        <v>46297</v>
      </c>
      <c r="B34" s="10">
        <v>0.25</v>
      </c>
      <c r="C34" s="10">
        <v>0.2708333333333333</v>
      </c>
      <c r="D34" s="11"/>
      <c r="E34" s="11"/>
      <c r="F34" s="11"/>
      <c r="G34" s="11"/>
      <c r="H34" s="11">
        <v>30</v>
      </c>
      <c r="I34" s="3">
        <f>IF(D34="","",IFERROR(VLOOKUP(D34,Setup!$A$2:$B$60,2,FALSE),""))</f>
      </c>
      <c r="J34" s="7">
        <f>IF(I34="","",MIN(MAX(0,IF(G34="",H34,G34)),H34))</f>
      </c>
      <c r="K34" s="5">
        <f>IF(J34="","",J34/60)</f>
      </c>
      <c r="L34" s="5">
        <f>IF(J34="","",(H34-J34)/60)</f>
      </c>
      <c r="M34" s="5">
        <f>IF(I34="Y",K34,0)</f>
      </c>
      <c r="N34" s="3">
        <f>IF(I34="Y",MAX(0,N(F34)),0)</f>
      </c>
      <c r="O34" s="5">
        <f>IF(M34&gt;0,N34/M34,"")</f>
      </c>
    </row>
    <row r="35" spans="1:15" x14ac:dyDescent="0.25">
      <c r="A35" s="2">
        <v>46297</v>
      </c>
      <c r="B35" s="10">
        <v>0.2708333333333333</v>
      </c>
      <c r="C35" s="10">
        <v>0.2916666666666667</v>
      </c>
      <c r="D35" s="11"/>
      <c r="E35" s="11"/>
      <c r="F35" s="11"/>
      <c r="G35" s="11"/>
      <c r="H35" s="11">
        <v>30</v>
      </c>
      <c r="I35" s="3">
        <f>IF(D35="","",IFERROR(VLOOKUP(D35,Setup!$A$2:$B$60,2,FALSE),""))</f>
      </c>
      <c r="J35" s="7">
        <f>IF(I35="","",MIN(MAX(0,IF(G35="",H35,G35)),H35))</f>
      </c>
      <c r="K35" s="5">
        <f>IF(J35="","",J35/60)</f>
      </c>
      <c r="L35" s="5">
        <f>IF(J35="","",(H35-J35)/60)</f>
      </c>
      <c r="M35" s="5">
        <f>IF(I35="Y",K35,0)</f>
      </c>
      <c r="N35" s="3">
        <f>IF(I35="Y",MAX(0,N(F35)),0)</f>
      </c>
      <c r="O35" s="5">
        <f>IF(M35&gt;0,N35/M35,"")</f>
      </c>
    </row>
    <row r="36" spans="1:15" x14ac:dyDescent="0.25">
      <c r="A36" s="2">
        <v>46297</v>
      </c>
      <c r="B36" s="10">
        <v>0.2916666666666667</v>
      </c>
      <c r="C36" s="10">
        <v>0.3125</v>
      </c>
      <c r="D36" s="11"/>
      <c r="E36" s="11"/>
      <c r="F36" s="11"/>
      <c r="G36" s="11"/>
      <c r="H36" s="11">
        <v>30</v>
      </c>
      <c r="I36" s="3">
        <f>IF(D36="","",IFERROR(VLOOKUP(D36,Setup!$A$2:$B$60,2,FALSE),""))</f>
      </c>
      <c r="J36" s="7">
        <f>IF(I36="","",MIN(MAX(0,IF(G36="",H36,G36)),H36))</f>
      </c>
      <c r="K36" s="5">
        <f>IF(J36="","",J36/60)</f>
      </c>
      <c r="L36" s="5">
        <f>IF(J36="","",(H36-J36)/60)</f>
      </c>
      <c r="M36" s="5">
        <f>IF(I36="Y",K36,0)</f>
      </c>
      <c r="N36" s="3">
        <f>IF(I36="Y",MAX(0,N(F36)),0)</f>
      </c>
      <c r="O36" s="5">
        <f>IF(M36&gt;0,N36/M36,"")</f>
      </c>
    </row>
    <row r="37" spans="1:15" x14ac:dyDescent="0.25">
      <c r="A37" s="2">
        <v>46297</v>
      </c>
      <c r="B37" s="10">
        <v>0.3125</v>
      </c>
      <c r="C37" s="10">
        <v>0.3333333333333333</v>
      </c>
      <c r="D37" s="11"/>
      <c r="E37" s="11"/>
      <c r="F37" s="11"/>
      <c r="G37" s="11"/>
      <c r="H37" s="11">
        <v>30</v>
      </c>
      <c r="I37" s="3">
        <f>IF(D37="","",IFERROR(VLOOKUP(D37,Setup!$A$2:$B$60,2,FALSE),""))</f>
      </c>
      <c r="J37" s="7">
        <f>IF(I37="","",MIN(MAX(0,IF(G37="",H37,G37)),H37))</f>
      </c>
      <c r="K37" s="5">
        <f>IF(J37="","",J37/60)</f>
      </c>
      <c r="L37" s="5">
        <f>IF(J37="","",(H37-J37)/60)</f>
      </c>
      <c r="M37" s="5">
        <f>IF(I37="Y",K37,0)</f>
      </c>
      <c r="N37" s="3">
        <f>IF(I37="Y",MAX(0,N(F37)),0)</f>
      </c>
      <c r="O37" s="5">
        <f>IF(M37&gt;0,N37/M37,"")</f>
      </c>
    </row>
    <row r="38" spans="1:15" x14ac:dyDescent="0.25">
      <c r="A38" s="2">
        <v>46298</v>
      </c>
      <c r="B38" s="10">
        <v>0.9583333333333334</v>
      </c>
      <c r="C38" s="10">
        <v>0.9791666666666666</v>
      </c>
      <c r="D38" s="11"/>
      <c r="E38" s="11"/>
      <c r="F38" s="11"/>
      <c r="G38" s="11"/>
      <c r="H38" s="11">
        <v>30</v>
      </c>
      <c r="I38" s="3">
        <f>IF(D38="","",IFERROR(VLOOKUP(D38,Setup!$A$2:$B$60,2,FALSE),""))</f>
      </c>
      <c r="J38" s="7">
        <f>IF(I38="","",MIN(MAX(0,IF(G38="",H38,G38)),H38))</f>
      </c>
      <c r="K38" s="5">
        <f>IF(J38="","",J38/60)</f>
      </c>
      <c r="L38" s="5">
        <f>IF(J38="","",(H38-J38)/60)</f>
      </c>
      <c r="M38" s="5">
        <f>IF(I38="Y",K38,0)</f>
      </c>
      <c r="N38" s="3">
        <f>IF(I38="Y",MAX(0,N(F38)),0)</f>
      </c>
      <c r="O38" s="5">
        <f>IF(M38&gt;0,N38/M38,"")</f>
      </c>
    </row>
    <row r="39" spans="1:15" x14ac:dyDescent="0.25">
      <c r="A39" s="2">
        <v>46298</v>
      </c>
      <c r="B39" s="10">
        <v>0.9791666666666666</v>
      </c>
      <c r="C39" s="10">
        <v>0</v>
      </c>
      <c r="D39" s="11"/>
      <c r="E39" s="11"/>
      <c r="F39" s="11"/>
      <c r="G39" s="11"/>
      <c r="H39" s="11">
        <v>30</v>
      </c>
      <c r="I39" s="3">
        <f>IF(D39="","",IFERROR(VLOOKUP(D39,Setup!$A$2:$B$60,2,FALSE),""))</f>
      </c>
      <c r="J39" s="7">
        <f>IF(I39="","",MIN(MAX(0,IF(G39="",H39,G39)),H39))</f>
      </c>
      <c r="K39" s="5">
        <f>IF(J39="","",J39/60)</f>
      </c>
      <c r="L39" s="5">
        <f>IF(J39="","",(H39-J39)/60)</f>
      </c>
      <c r="M39" s="5">
        <f>IF(I39="Y",K39,0)</f>
      </c>
      <c r="N39" s="3">
        <f>IF(I39="Y",MAX(0,N(F39)),0)</f>
      </c>
      <c r="O39" s="5">
        <f>IF(M39&gt;0,N39/M39,"")</f>
      </c>
    </row>
    <row r="40" spans="1:15" x14ac:dyDescent="0.25">
      <c r="A40" s="2">
        <v>46298</v>
      </c>
      <c r="B40" s="10">
        <v>0</v>
      </c>
      <c r="C40" s="10">
        <v>0.020833333333333332</v>
      </c>
      <c r="D40" s="11"/>
      <c r="E40" s="11"/>
      <c r="F40" s="11"/>
      <c r="G40" s="11"/>
      <c r="H40" s="11">
        <v>30</v>
      </c>
      <c r="I40" s="3">
        <f>IF(D40="","",IFERROR(VLOOKUP(D40,Setup!$A$2:$B$60,2,FALSE),""))</f>
      </c>
      <c r="J40" s="7">
        <f>IF(I40="","",MIN(MAX(0,IF(G40="",H40,G40)),H40))</f>
      </c>
      <c r="K40" s="5">
        <f>IF(J40="","",J40/60)</f>
      </c>
      <c r="L40" s="5">
        <f>IF(J40="","",(H40-J40)/60)</f>
      </c>
      <c r="M40" s="5">
        <f>IF(I40="Y",K40,0)</f>
      </c>
      <c r="N40" s="3">
        <f>IF(I40="Y",MAX(0,N(F40)),0)</f>
      </c>
      <c r="O40" s="5">
        <f>IF(M40&gt;0,N40/M40,"")</f>
      </c>
    </row>
    <row r="41" spans="1:15" x14ac:dyDescent="0.25">
      <c r="A41" s="2">
        <v>46298</v>
      </c>
      <c r="B41" s="10">
        <v>0.020833333333333332</v>
      </c>
      <c r="C41" s="10">
        <v>0.041666666666666664</v>
      </c>
      <c r="D41" s="11"/>
      <c r="E41" s="11"/>
      <c r="F41" s="11"/>
      <c r="G41" s="11"/>
      <c r="H41" s="11">
        <v>30</v>
      </c>
      <c r="I41" s="3">
        <f>IF(D41="","",IFERROR(VLOOKUP(D41,Setup!$A$2:$B$60,2,FALSE),""))</f>
      </c>
      <c r="J41" s="7">
        <f>IF(I41="","",MIN(MAX(0,IF(G41="",H41,G41)),H41))</f>
      </c>
      <c r="K41" s="5">
        <f>IF(J41="","",J41/60)</f>
      </c>
      <c r="L41" s="5">
        <f>IF(J41="","",(H41-J41)/60)</f>
      </c>
      <c r="M41" s="5">
        <f>IF(I41="Y",K41,0)</f>
      </c>
      <c r="N41" s="3">
        <f>IF(I41="Y",MAX(0,N(F41)),0)</f>
      </c>
      <c r="O41" s="5">
        <f>IF(M41&gt;0,N41/M41,"")</f>
      </c>
    </row>
    <row r="42" spans="1:15" x14ac:dyDescent="0.25">
      <c r="A42" s="2">
        <v>46298</v>
      </c>
      <c r="B42" s="10">
        <v>0.041666666666666664</v>
      </c>
      <c r="C42" s="10">
        <v>0.0625</v>
      </c>
      <c r="D42" s="11"/>
      <c r="E42" s="11"/>
      <c r="F42" s="11"/>
      <c r="G42" s="11"/>
      <c r="H42" s="11">
        <v>30</v>
      </c>
      <c r="I42" s="3">
        <f>IF(D42="","",IFERROR(VLOOKUP(D42,Setup!$A$2:$B$60,2,FALSE),""))</f>
      </c>
      <c r="J42" s="7">
        <f>IF(I42="","",MIN(MAX(0,IF(G42="",H42,G42)),H42))</f>
      </c>
      <c r="K42" s="5">
        <f>IF(J42="","",J42/60)</f>
      </c>
      <c r="L42" s="5">
        <f>IF(J42="","",(H42-J42)/60)</f>
      </c>
      <c r="M42" s="5">
        <f>IF(I42="Y",K42,0)</f>
      </c>
      <c r="N42" s="3">
        <f>IF(I42="Y",MAX(0,N(F42)),0)</f>
      </c>
      <c r="O42" s="5">
        <f>IF(M42&gt;0,N42/M42,"")</f>
      </c>
    </row>
    <row r="43" spans="1:15" x14ac:dyDescent="0.25">
      <c r="A43" s="2">
        <v>46298</v>
      </c>
      <c r="B43" s="10">
        <v>0.0625</v>
      </c>
      <c r="C43" s="10">
        <v>0.08333333333333333</v>
      </c>
      <c r="D43" s="11"/>
      <c r="E43" s="11"/>
      <c r="F43" s="11"/>
      <c r="G43" s="11"/>
      <c r="H43" s="11">
        <v>30</v>
      </c>
      <c r="I43" s="3">
        <f>IF(D43="","",IFERROR(VLOOKUP(D43,Setup!$A$2:$B$60,2,FALSE),""))</f>
      </c>
      <c r="J43" s="7">
        <f>IF(I43="","",MIN(MAX(0,IF(G43="",H43,G43)),H43))</f>
      </c>
      <c r="K43" s="5">
        <f>IF(J43="","",J43/60)</f>
      </c>
      <c r="L43" s="5">
        <f>IF(J43="","",(H43-J43)/60)</f>
      </c>
      <c r="M43" s="5">
        <f>IF(I43="Y",K43,0)</f>
      </c>
      <c r="N43" s="3">
        <f>IF(I43="Y",MAX(0,N(F43)),0)</f>
      </c>
      <c r="O43" s="5">
        <f>IF(M43&gt;0,N43/M43,"")</f>
      </c>
    </row>
    <row r="44" spans="1:15" x14ac:dyDescent="0.25">
      <c r="A44" s="2">
        <v>46298</v>
      </c>
      <c r="B44" s="10">
        <v>0.08333333333333333</v>
      </c>
      <c r="C44" s="10">
        <v>0.10416666666666667</v>
      </c>
      <c r="D44" s="11"/>
      <c r="E44" s="11"/>
      <c r="F44" s="11"/>
      <c r="G44" s="11"/>
      <c r="H44" s="11">
        <v>30</v>
      </c>
      <c r="I44" s="3">
        <f>IF(D44="","",IFERROR(VLOOKUP(D44,Setup!$A$2:$B$60,2,FALSE),""))</f>
      </c>
      <c r="J44" s="7">
        <f>IF(I44="","",MIN(MAX(0,IF(G44="",H44,G44)),H44))</f>
      </c>
      <c r="K44" s="5">
        <f>IF(J44="","",J44/60)</f>
      </c>
      <c r="L44" s="5">
        <f>IF(J44="","",(H44-J44)/60)</f>
      </c>
      <c r="M44" s="5">
        <f>IF(I44="Y",K44,0)</f>
      </c>
      <c r="N44" s="3">
        <f>IF(I44="Y",MAX(0,N(F44)),0)</f>
      </c>
      <c r="O44" s="5">
        <f>IF(M44&gt;0,N44/M44,"")</f>
      </c>
    </row>
    <row r="45" spans="1:15" x14ac:dyDescent="0.25">
      <c r="A45" s="2">
        <v>46298</v>
      </c>
      <c r="B45" s="10">
        <v>0.10416666666666667</v>
      </c>
      <c r="C45" s="10">
        <v>0.125</v>
      </c>
      <c r="D45" s="11"/>
      <c r="E45" s="11"/>
      <c r="F45" s="11"/>
      <c r="G45" s="11"/>
      <c r="H45" s="11">
        <v>30</v>
      </c>
      <c r="I45" s="3">
        <f>IF(D45="","",IFERROR(VLOOKUP(D45,Setup!$A$2:$B$60,2,FALSE),""))</f>
      </c>
      <c r="J45" s="7">
        <f>IF(I45="","",MIN(MAX(0,IF(G45="",H45,G45)),H45))</f>
      </c>
      <c r="K45" s="5">
        <f>IF(J45="","",J45/60)</f>
      </c>
      <c r="L45" s="5">
        <f>IF(J45="","",(H45-J45)/60)</f>
      </c>
      <c r="M45" s="5">
        <f>IF(I45="Y",K45,0)</f>
      </c>
      <c r="N45" s="3">
        <f>IF(I45="Y",MAX(0,N(F45)),0)</f>
      </c>
      <c r="O45" s="5">
        <f>IF(M45&gt;0,N45/M45,"")</f>
      </c>
    </row>
    <row r="46" spans="1:15" x14ac:dyDescent="0.25">
      <c r="A46" s="2">
        <v>46298</v>
      </c>
      <c r="B46" s="10">
        <v>0.125</v>
      </c>
      <c r="C46" s="10">
        <v>0.14583333333333334</v>
      </c>
      <c r="D46" s="11"/>
      <c r="E46" s="11"/>
      <c r="F46" s="11"/>
      <c r="G46" s="11"/>
      <c r="H46" s="11">
        <v>30</v>
      </c>
      <c r="I46" s="3">
        <f>IF(D46="","",IFERROR(VLOOKUP(D46,Setup!$A$2:$B$60,2,FALSE),""))</f>
      </c>
      <c r="J46" s="7">
        <f>IF(I46="","",MIN(MAX(0,IF(G46="",H46,G46)),H46))</f>
      </c>
      <c r="K46" s="5">
        <f>IF(J46="","",J46/60)</f>
      </c>
      <c r="L46" s="5">
        <f>IF(J46="","",(H46-J46)/60)</f>
      </c>
      <c r="M46" s="5">
        <f>IF(I46="Y",K46,0)</f>
      </c>
      <c r="N46" s="3">
        <f>IF(I46="Y",MAX(0,N(F46)),0)</f>
      </c>
      <c r="O46" s="5">
        <f>IF(M46&gt;0,N46/M46,"")</f>
      </c>
    </row>
    <row r="47" spans="1:15" x14ac:dyDescent="0.25">
      <c r="A47" s="2">
        <v>46298</v>
      </c>
      <c r="B47" s="10">
        <v>0.14583333333333334</v>
      </c>
      <c r="C47" s="10">
        <v>0.16666666666666666</v>
      </c>
      <c r="D47" s="11"/>
      <c r="E47" s="11"/>
      <c r="F47" s="11"/>
      <c r="G47" s="11"/>
      <c r="H47" s="11">
        <v>30</v>
      </c>
      <c r="I47" s="3">
        <f>IF(D47="","",IFERROR(VLOOKUP(D47,Setup!$A$2:$B$60,2,FALSE),""))</f>
      </c>
      <c r="J47" s="7">
        <f>IF(I47="","",MIN(MAX(0,IF(G47="",H47,G47)),H47))</f>
      </c>
      <c r="K47" s="5">
        <f>IF(J47="","",J47/60)</f>
      </c>
      <c r="L47" s="5">
        <f>IF(J47="","",(H47-J47)/60)</f>
      </c>
      <c r="M47" s="5">
        <f>IF(I47="Y",K47,0)</f>
      </c>
      <c r="N47" s="3">
        <f>IF(I47="Y",MAX(0,N(F47)),0)</f>
      </c>
      <c r="O47" s="5">
        <f>IF(M47&gt;0,N47/M47,"")</f>
      </c>
    </row>
    <row r="48" spans="1:15" x14ac:dyDescent="0.25">
      <c r="A48" s="2">
        <v>46298</v>
      </c>
      <c r="B48" s="10">
        <v>0.16666666666666666</v>
      </c>
      <c r="C48" s="10">
        <v>0.1875</v>
      </c>
      <c r="D48" s="11"/>
      <c r="E48" s="11"/>
      <c r="F48" s="11"/>
      <c r="G48" s="11"/>
      <c r="H48" s="11">
        <v>30</v>
      </c>
      <c r="I48" s="3">
        <f>IF(D48="","",IFERROR(VLOOKUP(D48,Setup!$A$2:$B$60,2,FALSE),""))</f>
      </c>
      <c r="J48" s="7">
        <f>IF(I48="","",MIN(MAX(0,IF(G48="",H48,G48)),H48))</f>
      </c>
      <c r="K48" s="5">
        <f>IF(J48="","",J48/60)</f>
      </c>
      <c r="L48" s="5">
        <f>IF(J48="","",(H48-J48)/60)</f>
      </c>
      <c r="M48" s="5">
        <f>IF(I48="Y",K48,0)</f>
      </c>
      <c r="N48" s="3">
        <f>IF(I48="Y",MAX(0,N(F48)),0)</f>
      </c>
      <c r="O48" s="5">
        <f>IF(M48&gt;0,N48/M48,"")</f>
      </c>
    </row>
    <row r="49" spans="1:15" x14ac:dyDescent="0.25">
      <c r="A49" s="2">
        <v>46298</v>
      </c>
      <c r="B49" s="10">
        <v>0.1875</v>
      </c>
      <c r="C49" s="10">
        <v>0.20833333333333334</v>
      </c>
      <c r="D49" s="11"/>
      <c r="E49" s="11"/>
      <c r="F49" s="11"/>
      <c r="G49" s="11"/>
      <c r="H49" s="11">
        <v>30</v>
      </c>
      <c r="I49" s="3">
        <f>IF(D49="","",IFERROR(VLOOKUP(D49,Setup!$A$2:$B$60,2,FALSE),""))</f>
      </c>
      <c r="J49" s="7">
        <f>IF(I49="","",MIN(MAX(0,IF(G49="",H49,G49)),H49))</f>
      </c>
      <c r="K49" s="5">
        <f>IF(J49="","",J49/60)</f>
      </c>
      <c r="L49" s="5">
        <f>IF(J49="","",(H49-J49)/60)</f>
      </c>
      <c r="M49" s="5">
        <f>IF(I49="Y",K49,0)</f>
      </c>
      <c r="N49" s="3">
        <f>IF(I49="Y",MAX(0,N(F49)),0)</f>
      </c>
      <c r="O49" s="5">
        <f>IF(M49&gt;0,N49/M49,"")</f>
      </c>
    </row>
    <row r="50" spans="1:15" x14ac:dyDescent="0.25">
      <c r="A50" s="2">
        <v>46298</v>
      </c>
      <c r="B50" s="10">
        <v>0.20833333333333334</v>
      </c>
      <c r="C50" s="10">
        <v>0.22916666666666666</v>
      </c>
      <c r="D50" s="11"/>
      <c r="E50" s="11"/>
      <c r="F50" s="11"/>
      <c r="G50" s="11"/>
      <c r="H50" s="11">
        <v>30</v>
      </c>
      <c r="I50" s="3">
        <f>IF(D50="","",IFERROR(VLOOKUP(D50,Setup!$A$2:$B$60,2,FALSE),""))</f>
      </c>
      <c r="J50" s="7">
        <f>IF(I50="","",MIN(MAX(0,IF(G50="",H50,G50)),H50))</f>
      </c>
      <c r="K50" s="5">
        <f>IF(J50="","",J50/60)</f>
      </c>
      <c r="L50" s="5">
        <f>IF(J50="","",(H50-J50)/60)</f>
      </c>
      <c r="M50" s="5">
        <f>IF(I50="Y",K50,0)</f>
      </c>
      <c r="N50" s="3">
        <f>IF(I50="Y",MAX(0,N(F50)),0)</f>
      </c>
      <c r="O50" s="5">
        <f>IF(M50&gt;0,N50/M50,"")</f>
      </c>
    </row>
    <row r="51" spans="1:15" x14ac:dyDescent="0.25">
      <c r="A51" s="2">
        <v>46298</v>
      </c>
      <c r="B51" s="10">
        <v>0.22916666666666666</v>
      </c>
      <c r="C51" s="10">
        <v>0.25</v>
      </c>
      <c r="D51" s="11"/>
      <c r="E51" s="11"/>
      <c r="F51" s="11"/>
      <c r="G51" s="11"/>
      <c r="H51" s="11">
        <v>30</v>
      </c>
      <c r="I51" s="3">
        <f>IF(D51="","",IFERROR(VLOOKUP(D51,Setup!$A$2:$B$60,2,FALSE),""))</f>
      </c>
      <c r="J51" s="7">
        <f>IF(I51="","",MIN(MAX(0,IF(G51="",H51,G51)),H51))</f>
      </c>
      <c r="K51" s="5">
        <f>IF(J51="","",J51/60)</f>
      </c>
      <c r="L51" s="5">
        <f>IF(J51="","",(H51-J51)/60)</f>
      </c>
      <c r="M51" s="5">
        <f>IF(I51="Y",K51,0)</f>
      </c>
      <c r="N51" s="3">
        <f>IF(I51="Y",MAX(0,N(F51)),0)</f>
      </c>
      <c r="O51" s="5">
        <f>IF(M51&gt;0,N51/M51,"")</f>
      </c>
    </row>
    <row r="52" spans="1:15" x14ac:dyDescent="0.25">
      <c r="A52" s="2">
        <v>46298</v>
      </c>
      <c r="B52" s="10">
        <v>0.25</v>
      </c>
      <c r="C52" s="10">
        <v>0.2708333333333333</v>
      </c>
      <c r="D52" s="11"/>
      <c r="E52" s="11"/>
      <c r="F52" s="11"/>
      <c r="G52" s="11"/>
      <c r="H52" s="11">
        <v>30</v>
      </c>
      <c r="I52" s="3">
        <f>IF(D52="","",IFERROR(VLOOKUP(D52,Setup!$A$2:$B$60,2,FALSE),""))</f>
      </c>
      <c r="J52" s="7">
        <f>IF(I52="","",MIN(MAX(0,IF(G52="",H52,G52)),H52))</f>
      </c>
      <c r="K52" s="5">
        <f>IF(J52="","",J52/60)</f>
      </c>
      <c r="L52" s="5">
        <f>IF(J52="","",(H52-J52)/60)</f>
      </c>
      <c r="M52" s="5">
        <f>IF(I52="Y",K52,0)</f>
      </c>
      <c r="N52" s="3">
        <f>IF(I52="Y",MAX(0,N(F52)),0)</f>
      </c>
      <c r="O52" s="5">
        <f>IF(M52&gt;0,N52/M52,"")</f>
      </c>
    </row>
    <row r="53" spans="1:15" x14ac:dyDescent="0.25">
      <c r="A53" s="2">
        <v>46298</v>
      </c>
      <c r="B53" s="10">
        <v>0.2708333333333333</v>
      </c>
      <c r="C53" s="10">
        <v>0.2916666666666667</v>
      </c>
      <c r="D53" s="11"/>
      <c r="E53" s="11"/>
      <c r="F53" s="11"/>
      <c r="G53" s="11"/>
      <c r="H53" s="11">
        <v>30</v>
      </c>
      <c r="I53" s="3">
        <f>IF(D53="","",IFERROR(VLOOKUP(D53,Setup!$A$2:$B$60,2,FALSE),""))</f>
      </c>
      <c r="J53" s="7">
        <f>IF(I53="","",MIN(MAX(0,IF(G53="",H53,G53)),H53))</f>
      </c>
      <c r="K53" s="5">
        <f>IF(J53="","",J53/60)</f>
      </c>
      <c r="L53" s="5">
        <f>IF(J53="","",(H53-J53)/60)</f>
      </c>
      <c r="M53" s="5">
        <f>IF(I53="Y",K53,0)</f>
      </c>
      <c r="N53" s="3">
        <f>IF(I53="Y",MAX(0,N(F53)),0)</f>
      </c>
      <c r="O53" s="5">
        <f>IF(M53&gt;0,N53/M53,"")</f>
      </c>
    </row>
    <row r="54" spans="1:15" x14ac:dyDescent="0.25">
      <c r="A54" s="2">
        <v>46298</v>
      </c>
      <c r="B54" s="10">
        <v>0.2916666666666667</v>
      </c>
      <c r="C54" s="10">
        <v>0.3125</v>
      </c>
      <c r="D54" s="11"/>
      <c r="E54" s="11"/>
      <c r="F54" s="11"/>
      <c r="G54" s="11"/>
      <c r="H54" s="11">
        <v>30</v>
      </c>
      <c r="I54" s="3">
        <f>IF(D54="","",IFERROR(VLOOKUP(D54,Setup!$A$2:$B$60,2,FALSE),""))</f>
      </c>
      <c r="J54" s="7">
        <f>IF(I54="","",MIN(MAX(0,IF(G54="",H54,G54)),H54))</f>
      </c>
      <c r="K54" s="5">
        <f>IF(J54="","",J54/60)</f>
      </c>
      <c r="L54" s="5">
        <f>IF(J54="","",(H54-J54)/60)</f>
      </c>
      <c r="M54" s="5">
        <f>IF(I54="Y",K54,0)</f>
      </c>
      <c r="N54" s="3">
        <f>IF(I54="Y",MAX(0,N(F54)),0)</f>
      </c>
      <c r="O54" s="5">
        <f>IF(M54&gt;0,N54/M54,"")</f>
      </c>
    </row>
    <row r="55" spans="1:15" x14ac:dyDescent="0.25">
      <c r="A55" s="2">
        <v>46298</v>
      </c>
      <c r="B55" s="10">
        <v>0.3125</v>
      </c>
      <c r="C55" s="10">
        <v>0.3333333333333333</v>
      </c>
      <c r="D55" s="11"/>
      <c r="E55" s="11"/>
      <c r="F55" s="11"/>
      <c r="G55" s="11"/>
      <c r="H55" s="11">
        <v>30</v>
      </c>
      <c r="I55" s="3">
        <f>IF(D55="","",IFERROR(VLOOKUP(D55,Setup!$A$2:$B$60,2,FALSE),""))</f>
      </c>
      <c r="J55" s="7">
        <f>IF(I55="","",MIN(MAX(0,IF(G55="",H55,G55)),H55))</f>
      </c>
      <c r="K55" s="5">
        <f>IF(J55="","",J55/60)</f>
      </c>
      <c r="L55" s="5">
        <f>IF(J55="","",(H55-J55)/60)</f>
      </c>
      <c r="M55" s="5">
        <f>IF(I55="Y",K55,0)</f>
      </c>
      <c r="N55" s="3">
        <f>IF(I55="Y",MAX(0,N(F55)),0)</f>
      </c>
      <c r="O55" s="5">
        <f>IF(M55&gt;0,N55/M55,"")</f>
      </c>
    </row>
    <row r="56" spans="1:15" x14ac:dyDescent="0.25">
      <c r="A56" s="2">
        <v>46299</v>
      </c>
      <c r="B56" s="10">
        <v>0.9583333333333334</v>
      </c>
      <c r="C56" s="10">
        <v>0.9791666666666666</v>
      </c>
      <c r="D56" s="11"/>
      <c r="E56" s="11"/>
      <c r="F56" s="11"/>
      <c r="G56" s="11"/>
      <c r="H56" s="11">
        <v>30</v>
      </c>
      <c r="I56" s="3">
        <f>IF(D56="","",IFERROR(VLOOKUP(D56,Setup!$A$2:$B$60,2,FALSE),""))</f>
      </c>
      <c r="J56" s="7">
        <f>IF(I56="","",MIN(MAX(0,IF(G56="",H56,G56)),H56))</f>
      </c>
      <c r="K56" s="5">
        <f>IF(J56="","",J56/60)</f>
      </c>
      <c r="L56" s="5">
        <f>IF(J56="","",(H56-J56)/60)</f>
      </c>
      <c r="M56" s="5">
        <f>IF(I56="Y",K56,0)</f>
      </c>
      <c r="N56" s="3">
        <f>IF(I56="Y",MAX(0,N(F56)),0)</f>
      </c>
      <c r="O56" s="5">
        <f>IF(M56&gt;0,N56/M56,"")</f>
      </c>
    </row>
    <row r="57" spans="1:15" x14ac:dyDescent="0.25">
      <c r="A57" s="2">
        <v>46299</v>
      </c>
      <c r="B57" s="10">
        <v>0.9791666666666666</v>
      </c>
      <c r="C57" s="10">
        <v>0</v>
      </c>
      <c r="D57" s="11"/>
      <c r="E57" s="11"/>
      <c r="F57" s="11"/>
      <c r="G57" s="11"/>
      <c r="H57" s="11">
        <v>30</v>
      </c>
      <c r="I57" s="3">
        <f>IF(D57="","",IFERROR(VLOOKUP(D57,Setup!$A$2:$B$60,2,FALSE),""))</f>
      </c>
      <c r="J57" s="7">
        <f>IF(I57="","",MIN(MAX(0,IF(G57="",H57,G57)),H57))</f>
      </c>
      <c r="K57" s="5">
        <f>IF(J57="","",J57/60)</f>
      </c>
      <c r="L57" s="5">
        <f>IF(J57="","",(H57-J57)/60)</f>
      </c>
      <c r="M57" s="5">
        <f>IF(I57="Y",K57,0)</f>
      </c>
      <c r="N57" s="3">
        <f>IF(I57="Y",MAX(0,N(F57)),0)</f>
      </c>
      <c r="O57" s="5">
        <f>IF(M57&gt;0,N57/M57,"")</f>
      </c>
    </row>
    <row r="58" spans="1:15" x14ac:dyDescent="0.25">
      <c r="A58" s="2">
        <v>46299</v>
      </c>
      <c r="B58" s="10">
        <v>0</v>
      </c>
      <c r="C58" s="10">
        <v>0.020833333333333332</v>
      </c>
      <c r="D58" s="11"/>
      <c r="E58" s="11"/>
      <c r="F58" s="11"/>
      <c r="G58" s="11"/>
      <c r="H58" s="11">
        <v>30</v>
      </c>
      <c r="I58" s="3">
        <f>IF(D58="","",IFERROR(VLOOKUP(D58,Setup!$A$2:$B$60,2,FALSE),""))</f>
      </c>
      <c r="J58" s="7">
        <f>IF(I58="","",MIN(MAX(0,IF(G58="",H58,G58)),H58))</f>
      </c>
      <c r="K58" s="5">
        <f>IF(J58="","",J58/60)</f>
      </c>
      <c r="L58" s="5">
        <f>IF(J58="","",(H58-J58)/60)</f>
      </c>
      <c r="M58" s="5">
        <f>IF(I58="Y",K58,0)</f>
      </c>
      <c r="N58" s="3">
        <f>IF(I58="Y",MAX(0,N(F58)),0)</f>
      </c>
      <c r="O58" s="5">
        <f>IF(M58&gt;0,N58/M58,"")</f>
      </c>
    </row>
    <row r="59" spans="1:15" x14ac:dyDescent="0.25">
      <c r="A59" s="2">
        <v>46299</v>
      </c>
      <c r="B59" s="10">
        <v>0.020833333333333332</v>
      </c>
      <c r="C59" s="10">
        <v>0.041666666666666664</v>
      </c>
      <c r="D59" s="11"/>
      <c r="E59" s="11"/>
      <c r="F59" s="11"/>
      <c r="G59" s="11"/>
      <c r="H59" s="11">
        <v>30</v>
      </c>
      <c r="I59" s="3">
        <f>IF(D59="","",IFERROR(VLOOKUP(D59,Setup!$A$2:$B$60,2,FALSE),""))</f>
      </c>
      <c r="J59" s="7">
        <f>IF(I59="","",MIN(MAX(0,IF(G59="",H59,G59)),H59))</f>
      </c>
      <c r="K59" s="5">
        <f>IF(J59="","",J59/60)</f>
      </c>
      <c r="L59" s="5">
        <f>IF(J59="","",(H59-J59)/60)</f>
      </c>
      <c r="M59" s="5">
        <f>IF(I59="Y",K59,0)</f>
      </c>
      <c r="N59" s="3">
        <f>IF(I59="Y",MAX(0,N(F59)),0)</f>
      </c>
      <c r="O59" s="5">
        <f>IF(M59&gt;0,N59/M59,"")</f>
      </c>
    </row>
    <row r="60" spans="1:15" x14ac:dyDescent="0.25">
      <c r="A60" s="2">
        <v>46299</v>
      </c>
      <c r="B60" s="10">
        <v>0.041666666666666664</v>
      </c>
      <c r="C60" s="10">
        <v>0.0625</v>
      </c>
      <c r="D60" s="11"/>
      <c r="E60" s="11"/>
      <c r="F60" s="11"/>
      <c r="G60" s="11"/>
      <c r="H60" s="11">
        <v>30</v>
      </c>
      <c r="I60" s="3">
        <f>IF(D60="","",IFERROR(VLOOKUP(D60,Setup!$A$2:$B$60,2,FALSE),""))</f>
      </c>
      <c r="J60" s="7">
        <f>IF(I60="","",MIN(MAX(0,IF(G60="",H60,G60)),H60))</f>
      </c>
      <c r="K60" s="5">
        <f>IF(J60="","",J60/60)</f>
      </c>
      <c r="L60" s="5">
        <f>IF(J60="","",(H60-J60)/60)</f>
      </c>
      <c r="M60" s="5">
        <f>IF(I60="Y",K60,0)</f>
      </c>
      <c r="N60" s="3">
        <f>IF(I60="Y",MAX(0,N(F60)),0)</f>
      </c>
      <c r="O60" s="5">
        <f>IF(M60&gt;0,N60/M60,"")</f>
      </c>
    </row>
    <row r="61" spans="1:15" x14ac:dyDescent="0.25">
      <c r="A61" s="2">
        <v>46299</v>
      </c>
      <c r="B61" s="10">
        <v>0.0625</v>
      </c>
      <c r="C61" s="10">
        <v>0.08333333333333333</v>
      </c>
      <c r="D61" s="11"/>
      <c r="E61" s="11"/>
      <c r="F61" s="11"/>
      <c r="G61" s="11"/>
      <c r="H61" s="11">
        <v>30</v>
      </c>
      <c r="I61" s="3">
        <f>IF(D61="","",IFERROR(VLOOKUP(D61,Setup!$A$2:$B$60,2,FALSE),""))</f>
      </c>
      <c r="J61" s="7">
        <f>IF(I61="","",MIN(MAX(0,IF(G61="",H61,G61)),H61))</f>
      </c>
      <c r="K61" s="5">
        <f>IF(J61="","",J61/60)</f>
      </c>
      <c r="L61" s="5">
        <f>IF(J61="","",(H61-J61)/60)</f>
      </c>
      <c r="M61" s="5">
        <f>IF(I61="Y",K61,0)</f>
      </c>
      <c r="N61" s="3">
        <f>IF(I61="Y",MAX(0,N(F61)),0)</f>
      </c>
      <c r="O61" s="5">
        <f>IF(M61&gt;0,N61/M61,"")</f>
      </c>
    </row>
    <row r="62" spans="1:15" x14ac:dyDescent="0.25">
      <c r="A62" s="2">
        <v>46299</v>
      </c>
      <c r="B62" s="10">
        <v>0.08333333333333333</v>
      </c>
      <c r="C62" s="10">
        <v>0.10416666666666667</v>
      </c>
      <c r="D62" s="11"/>
      <c r="E62" s="11"/>
      <c r="F62" s="11"/>
      <c r="G62" s="11"/>
      <c r="H62" s="11">
        <v>30</v>
      </c>
      <c r="I62" s="3">
        <f>IF(D62="","",IFERROR(VLOOKUP(D62,Setup!$A$2:$B$60,2,FALSE),""))</f>
      </c>
      <c r="J62" s="7">
        <f>IF(I62="","",MIN(MAX(0,IF(G62="",H62,G62)),H62))</f>
      </c>
      <c r="K62" s="5">
        <f>IF(J62="","",J62/60)</f>
      </c>
      <c r="L62" s="5">
        <f>IF(J62="","",(H62-J62)/60)</f>
      </c>
      <c r="M62" s="5">
        <f>IF(I62="Y",K62,0)</f>
      </c>
      <c r="N62" s="3">
        <f>IF(I62="Y",MAX(0,N(F62)),0)</f>
      </c>
      <c r="O62" s="5">
        <f>IF(M62&gt;0,N62/M62,"")</f>
      </c>
    </row>
    <row r="63" spans="1:15" x14ac:dyDescent="0.25">
      <c r="A63" s="2">
        <v>46299</v>
      </c>
      <c r="B63" s="10">
        <v>0.10416666666666667</v>
      </c>
      <c r="C63" s="10">
        <v>0.125</v>
      </c>
      <c r="D63" s="11"/>
      <c r="E63" s="11"/>
      <c r="F63" s="11"/>
      <c r="G63" s="11"/>
      <c r="H63" s="11">
        <v>30</v>
      </c>
      <c r="I63" s="3">
        <f>IF(D63="","",IFERROR(VLOOKUP(D63,Setup!$A$2:$B$60,2,FALSE),""))</f>
      </c>
      <c r="J63" s="7">
        <f>IF(I63="","",MIN(MAX(0,IF(G63="",H63,G63)),H63))</f>
      </c>
      <c r="K63" s="5">
        <f>IF(J63="","",J63/60)</f>
      </c>
      <c r="L63" s="5">
        <f>IF(J63="","",(H63-J63)/60)</f>
      </c>
      <c r="M63" s="5">
        <f>IF(I63="Y",K63,0)</f>
      </c>
      <c r="N63" s="3">
        <f>IF(I63="Y",MAX(0,N(F63)),0)</f>
      </c>
      <c r="O63" s="5">
        <f>IF(M63&gt;0,N63/M63,"")</f>
      </c>
    </row>
    <row r="64" spans="1:15" x14ac:dyDescent="0.25">
      <c r="A64" s="2">
        <v>46299</v>
      </c>
      <c r="B64" s="10">
        <v>0.125</v>
      </c>
      <c r="C64" s="10">
        <v>0.14583333333333334</v>
      </c>
      <c r="D64" s="11"/>
      <c r="E64" s="11"/>
      <c r="F64" s="11"/>
      <c r="G64" s="11"/>
      <c r="H64" s="11">
        <v>30</v>
      </c>
      <c r="I64" s="3">
        <f>IF(D64="","",IFERROR(VLOOKUP(D64,Setup!$A$2:$B$60,2,FALSE),""))</f>
      </c>
      <c r="J64" s="7">
        <f>IF(I64="","",MIN(MAX(0,IF(G64="",H64,G64)),H64))</f>
      </c>
      <c r="K64" s="5">
        <f>IF(J64="","",J64/60)</f>
      </c>
      <c r="L64" s="5">
        <f>IF(J64="","",(H64-J64)/60)</f>
      </c>
      <c r="M64" s="5">
        <f>IF(I64="Y",K64,0)</f>
      </c>
      <c r="N64" s="3">
        <f>IF(I64="Y",MAX(0,N(F64)),0)</f>
      </c>
      <c r="O64" s="5">
        <f>IF(M64&gt;0,N64/M64,"")</f>
      </c>
    </row>
    <row r="65" spans="1:15" x14ac:dyDescent="0.25">
      <c r="A65" s="2">
        <v>46299</v>
      </c>
      <c r="B65" s="10">
        <v>0.14583333333333334</v>
      </c>
      <c r="C65" s="10">
        <v>0.16666666666666666</v>
      </c>
      <c r="D65" s="11"/>
      <c r="E65" s="11"/>
      <c r="F65" s="11"/>
      <c r="G65" s="11"/>
      <c r="H65" s="11">
        <v>30</v>
      </c>
      <c r="I65" s="3">
        <f>IF(D65="","",IFERROR(VLOOKUP(D65,Setup!$A$2:$B$60,2,FALSE),""))</f>
      </c>
      <c r="J65" s="7">
        <f>IF(I65="","",MIN(MAX(0,IF(G65="",H65,G65)),H65))</f>
      </c>
      <c r="K65" s="5">
        <f>IF(J65="","",J65/60)</f>
      </c>
      <c r="L65" s="5">
        <f>IF(J65="","",(H65-J65)/60)</f>
      </c>
      <c r="M65" s="5">
        <f>IF(I65="Y",K65,0)</f>
      </c>
      <c r="N65" s="3">
        <f>IF(I65="Y",MAX(0,N(F65)),0)</f>
      </c>
      <c r="O65" s="5">
        <f>IF(M65&gt;0,N65/M65,"")</f>
      </c>
    </row>
    <row r="66" spans="1:15" x14ac:dyDescent="0.25">
      <c r="A66" s="2">
        <v>46299</v>
      </c>
      <c r="B66" s="10">
        <v>0.16666666666666666</v>
      </c>
      <c r="C66" s="10">
        <v>0.1875</v>
      </c>
      <c r="D66" s="11"/>
      <c r="E66" s="11"/>
      <c r="F66" s="11"/>
      <c r="G66" s="11"/>
      <c r="H66" s="11">
        <v>30</v>
      </c>
      <c r="I66" s="3">
        <f>IF(D66="","",IFERROR(VLOOKUP(D66,Setup!$A$2:$B$60,2,FALSE),""))</f>
      </c>
      <c r="J66" s="7">
        <f>IF(I66="","",MIN(MAX(0,IF(G66="",H66,G66)),H66))</f>
      </c>
      <c r="K66" s="5">
        <f>IF(J66="","",J66/60)</f>
      </c>
      <c r="L66" s="5">
        <f>IF(J66="","",(H66-J66)/60)</f>
      </c>
      <c r="M66" s="5">
        <f>IF(I66="Y",K66,0)</f>
      </c>
      <c r="N66" s="3">
        <f>IF(I66="Y",MAX(0,N(F66)),0)</f>
      </c>
      <c r="O66" s="5">
        <f>IF(M66&gt;0,N66/M66,"")</f>
      </c>
    </row>
    <row r="67" spans="1:15" x14ac:dyDescent="0.25">
      <c r="A67" s="2">
        <v>46299</v>
      </c>
      <c r="B67" s="10">
        <v>0.1875</v>
      </c>
      <c r="C67" s="10">
        <v>0.20833333333333334</v>
      </c>
      <c r="D67" s="11"/>
      <c r="E67" s="11"/>
      <c r="F67" s="11"/>
      <c r="G67" s="11"/>
      <c r="H67" s="11">
        <v>30</v>
      </c>
      <c r="I67" s="3">
        <f>IF(D67="","",IFERROR(VLOOKUP(D67,Setup!$A$2:$B$60,2,FALSE),""))</f>
      </c>
      <c r="J67" s="7">
        <f>IF(I67="","",MIN(MAX(0,IF(G67="",H67,G67)),H67))</f>
      </c>
      <c r="K67" s="5">
        <f>IF(J67="","",J67/60)</f>
      </c>
      <c r="L67" s="5">
        <f>IF(J67="","",(H67-J67)/60)</f>
      </c>
      <c r="M67" s="5">
        <f>IF(I67="Y",K67,0)</f>
      </c>
      <c r="N67" s="3">
        <f>IF(I67="Y",MAX(0,N(F67)),0)</f>
      </c>
      <c r="O67" s="5">
        <f>IF(M67&gt;0,N67/M67,"")</f>
      </c>
    </row>
    <row r="68" spans="1:15" x14ac:dyDescent="0.25">
      <c r="A68" s="2">
        <v>46299</v>
      </c>
      <c r="B68" s="10">
        <v>0.20833333333333334</v>
      </c>
      <c r="C68" s="10">
        <v>0.22916666666666666</v>
      </c>
      <c r="D68" s="11"/>
      <c r="E68" s="11"/>
      <c r="F68" s="11"/>
      <c r="G68" s="11"/>
      <c r="H68" s="11">
        <v>30</v>
      </c>
      <c r="I68" s="3">
        <f>IF(D68="","",IFERROR(VLOOKUP(D68,Setup!$A$2:$B$60,2,FALSE),""))</f>
      </c>
      <c r="J68" s="7">
        <f>IF(I68="","",MIN(MAX(0,IF(G68="",H68,G68)),H68))</f>
      </c>
      <c r="K68" s="5">
        <f>IF(J68="","",J68/60)</f>
      </c>
      <c r="L68" s="5">
        <f>IF(J68="","",(H68-J68)/60)</f>
      </c>
      <c r="M68" s="5">
        <f>IF(I68="Y",K68,0)</f>
      </c>
      <c r="N68" s="3">
        <f>IF(I68="Y",MAX(0,N(F68)),0)</f>
      </c>
      <c r="O68" s="5">
        <f>IF(M68&gt;0,N68/M68,"")</f>
      </c>
    </row>
    <row r="69" spans="1:15" x14ac:dyDescent="0.25">
      <c r="A69" s="2">
        <v>46299</v>
      </c>
      <c r="B69" s="10">
        <v>0.22916666666666666</v>
      </c>
      <c r="C69" s="10">
        <v>0.25</v>
      </c>
      <c r="D69" s="11"/>
      <c r="E69" s="11"/>
      <c r="F69" s="11"/>
      <c r="G69" s="11"/>
      <c r="H69" s="11">
        <v>30</v>
      </c>
      <c r="I69" s="3">
        <f>IF(D69="","",IFERROR(VLOOKUP(D69,Setup!$A$2:$B$60,2,FALSE),""))</f>
      </c>
      <c r="J69" s="7">
        <f>IF(I69="","",MIN(MAX(0,IF(G69="",H69,G69)),H69))</f>
      </c>
      <c r="K69" s="5">
        <f>IF(J69="","",J69/60)</f>
      </c>
      <c r="L69" s="5">
        <f>IF(J69="","",(H69-J69)/60)</f>
      </c>
      <c r="M69" s="5">
        <f>IF(I69="Y",K69,0)</f>
      </c>
      <c r="N69" s="3">
        <f>IF(I69="Y",MAX(0,N(F69)),0)</f>
      </c>
      <c r="O69" s="5">
        <f>IF(M69&gt;0,N69/M69,"")</f>
      </c>
    </row>
    <row r="70" spans="1:15" x14ac:dyDescent="0.25">
      <c r="A70" s="2">
        <v>46299</v>
      </c>
      <c r="B70" s="10">
        <v>0.25</v>
      </c>
      <c r="C70" s="10">
        <v>0.2708333333333333</v>
      </c>
      <c r="D70" s="11"/>
      <c r="E70" s="11"/>
      <c r="F70" s="11"/>
      <c r="G70" s="11"/>
      <c r="H70" s="11">
        <v>30</v>
      </c>
      <c r="I70" s="3">
        <f>IF(D70="","",IFERROR(VLOOKUP(D70,Setup!$A$2:$B$60,2,FALSE),""))</f>
      </c>
      <c r="J70" s="7">
        <f>IF(I70="","",MIN(MAX(0,IF(G70="",H70,G70)),H70))</f>
      </c>
      <c r="K70" s="5">
        <f>IF(J70="","",J70/60)</f>
      </c>
      <c r="L70" s="5">
        <f>IF(J70="","",(H70-J70)/60)</f>
      </c>
      <c r="M70" s="5">
        <f>IF(I70="Y",K70,0)</f>
      </c>
      <c r="N70" s="3">
        <f>IF(I70="Y",MAX(0,N(F70)),0)</f>
      </c>
      <c r="O70" s="5">
        <f>IF(M70&gt;0,N70/M70,"")</f>
      </c>
    </row>
    <row r="71" spans="1:15" x14ac:dyDescent="0.25">
      <c r="A71" s="2">
        <v>46299</v>
      </c>
      <c r="B71" s="10">
        <v>0.2708333333333333</v>
      </c>
      <c r="C71" s="10">
        <v>0.2916666666666667</v>
      </c>
      <c r="D71" s="11"/>
      <c r="E71" s="11"/>
      <c r="F71" s="11"/>
      <c r="G71" s="11"/>
      <c r="H71" s="11">
        <v>30</v>
      </c>
      <c r="I71" s="3">
        <f>IF(D71="","",IFERROR(VLOOKUP(D71,Setup!$A$2:$B$60,2,FALSE),""))</f>
      </c>
      <c r="J71" s="7">
        <f>IF(I71="","",MIN(MAX(0,IF(G71="",H71,G71)),H71))</f>
      </c>
      <c r="K71" s="5">
        <f>IF(J71="","",J71/60)</f>
      </c>
      <c r="L71" s="5">
        <f>IF(J71="","",(H71-J71)/60)</f>
      </c>
      <c r="M71" s="5">
        <f>IF(I71="Y",K71,0)</f>
      </c>
      <c r="N71" s="3">
        <f>IF(I71="Y",MAX(0,N(F71)),0)</f>
      </c>
      <c r="O71" s="5">
        <f>IF(M71&gt;0,N71/M71,"")</f>
      </c>
    </row>
    <row r="72" spans="1:15" x14ac:dyDescent="0.25">
      <c r="A72" s="2">
        <v>46299</v>
      </c>
      <c r="B72" s="10">
        <v>0.2916666666666667</v>
      </c>
      <c r="C72" s="10">
        <v>0.3125</v>
      </c>
      <c r="D72" s="11"/>
      <c r="E72" s="11"/>
      <c r="F72" s="11"/>
      <c r="G72" s="11"/>
      <c r="H72" s="11">
        <v>30</v>
      </c>
      <c r="I72" s="3">
        <f>IF(D72="","",IFERROR(VLOOKUP(D72,Setup!$A$2:$B$60,2,FALSE),""))</f>
      </c>
      <c r="J72" s="7">
        <f>IF(I72="","",MIN(MAX(0,IF(G72="",H72,G72)),H72))</f>
      </c>
      <c r="K72" s="5">
        <f>IF(J72="","",J72/60)</f>
      </c>
      <c r="L72" s="5">
        <f>IF(J72="","",(H72-J72)/60)</f>
      </c>
      <c r="M72" s="5">
        <f>IF(I72="Y",K72,0)</f>
      </c>
      <c r="N72" s="3">
        <f>IF(I72="Y",MAX(0,N(F72)),0)</f>
      </c>
      <c r="O72" s="5">
        <f>IF(M72&gt;0,N72/M72,"")</f>
      </c>
    </row>
    <row r="73" spans="1:15" x14ac:dyDescent="0.25">
      <c r="A73" s="2">
        <v>46299</v>
      </c>
      <c r="B73" s="10">
        <v>0.3125</v>
      </c>
      <c r="C73" s="10">
        <v>0.3333333333333333</v>
      </c>
      <c r="D73" s="11"/>
      <c r="E73" s="11"/>
      <c r="F73" s="11"/>
      <c r="G73" s="11"/>
      <c r="H73" s="11">
        <v>30</v>
      </c>
      <c r="I73" s="3">
        <f>IF(D73="","",IFERROR(VLOOKUP(D73,Setup!$A$2:$B$60,2,FALSE),""))</f>
      </c>
      <c r="J73" s="7">
        <f>IF(I73="","",MIN(MAX(0,IF(G73="",H73,G73)),H73))</f>
      </c>
      <c r="K73" s="5">
        <f>IF(J73="","",J73/60)</f>
      </c>
      <c r="L73" s="5">
        <f>IF(J73="","",(H73-J73)/60)</f>
      </c>
      <c r="M73" s="5">
        <f>IF(I73="Y",K73,0)</f>
      </c>
      <c r="N73" s="3">
        <f>IF(I73="Y",MAX(0,N(F73)),0)</f>
      </c>
      <c r="O73" s="5">
        <f>IF(M73&gt;0,N73/M73,"")</f>
      </c>
    </row>
    <row r="74" spans="1:15" x14ac:dyDescent="0.25">
      <c r="A74" s="2">
        <v>46300</v>
      </c>
      <c r="B74" s="10">
        <v>0.9583333333333334</v>
      </c>
      <c r="C74" s="10">
        <v>0.9791666666666666</v>
      </c>
      <c r="D74" s="11"/>
      <c r="E74" s="11"/>
      <c r="F74" s="11"/>
      <c r="G74" s="11"/>
      <c r="H74" s="11">
        <v>30</v>
      </c>
      <c r="I74" s="3">
        <f>IF(D74="","",IFERROR(VLOOKUP(D74,Setup!$A$2:$B$60,2,FALSE),""))</f>
      </c>
      <c r="J74" s="7">
        <f>IF(I74="","",MIN(MAX(0,IF(G74="",H74,G74)),H74))</f>
      </c>
      <c r="K74" s="5">
        <f>IF(J74="","",J74/60)</f>
      </c>
      <c r="L74" s="5">
        <f>IF(J74="","",(H74-J74)/60)</f>
      </c>
      <c r="M74" s="5">
        <f>IF(I74="Y",K74,0)</f>
      </c>
      <c r="N74" s="3">
        <f>IF(I74="Y",MAX(0,N(F74)),0)</f>
      </c>
      <c r="O74" s="5">
        <f>IF(M74&gt;0,N74/M74,"")</f>
      </c>
    </row>
    <row r="75" spans="1:15" x14ac:dyDescent="0.25">
      <c r="A75" s="2">
        <v>46300</v>
      </c>
      <c r="B75" s="10">
        <v>0.9791666666666666</v>
      </c>
      <c r="C75" s="10">
        <v>0</v>
      </c>
      <c r="D75" s="11"/>
      <c r="E75" s="11"/>
      <c r="F75" s="11"/>
      <c r="G75" s="11"/>
      <c r="H75" s="11">
        <v>30</v>
      </c>
      <c r="I75" s="3">
        <f>IF(D75="","",IFERROR(VLOOKUP(D75,Setup!$A$2:$B$60,2,FALSE),""))</f>
      </c>
      <c r="J75" s="7">
        <f>IF(I75="","",MIN(MAX(0,IF(G75="",H75,G75)),H75))</f>
      </c>
      <c r="K75" s="5">
        <f>IF(J75="","",J75/60)</f>
      </c>
      <c r="L75" s="5">
        <f>IF(J75="","",(H75-J75)/60)</f>
      </c>
      <c r="M75" s="5">
        <f>IF(I75="Y",K75,0)</f>
      </c>
      <c r="N75" s="3">
        <f>IF(I75="Y",MAX(0,N(F75)),0)</f>
      </c>
      <c r="O75" s="5">
        <f>IF(M75&gt;0,N75/M75,"")</f>
      </c>
    </row>
    <row r="76" spans="1:15" x14ac:dyDescent="0.25">
      <c r="A76" s="2">
        <v>46300</v>
      </c>
      <c r="B76" s="10">
        <v>0</v>
      </c>
      <c r="C76" s="10">
        <v>0.020833333333333332</v>
      </c>
      <c r="D76" s="11"/>
      <c r="E76" s="11"/>
      <c r="F76" s="11"/>
      <c r="G76" s="11"/>
      <c r="H76" s="11">
        <v>30</v>
      </c>
      <c r="I76" s="3">
        <f>IF(D76="","",IFERROR(VLOOKUP(D76,Setup!$A$2:$B$60,2,FALSE),""))</f>
      </c>
      <c r="J76" s="7">
        <f>IF(I76="","",MIN(MAX(0,IF(G76="",H76,G76)),H76))</f>
      </c>
      <c r="K76" s="5">
        <f>IF(J76="","",J76/60)</f>
      </c>
      <c r="L76" s="5">
        <f>IF(J76="","",(H76-J76)/60)</f>
      </c>
      <c r="M76" s="5">
        <f>IF(I76="Y",K76,0)</f>
      </c>
      <c r="N76" s="3">
        <f>IF(I76="Y",MAX(0,N(F76)),0)</f>
      </c>
      <c r="O76" s="5">
        <f>IF(M76&gt;0,N76/M76,"")</f>
      </c>
    </row>
    <row r="77" spans="1:15" x14ac:dyDescent="0.25">
      <c r="A77" s="2">
        <v>46300</v>
      </c>
      <c r="B77" s="10">
        <v>0.020833333333333332</v>
      </c>
      <c r="C77" s="10">
        <v>0.041666666666666664</v>
      </c>
      <c r="D77" s="11"/>
      <c r="E77" s="11"/>
      <c r="F77" s="11"/>
      <c r="G77" s="11"/>
      <c r="H77" s="11">
        <v>30</v>
      </c>
      <c r="I77" s="3">
        <f>IF(D77="","",IFERROR(VLOOKUP(D77,Setup!$A$2:$B$60,2,FALSE),""))</f>
      </c>
      <c r="J77" s="7">
        <f>IF(I77="","",MIN(MAX(0,IF(G77="",H77,G77)),H77))</f>
      </c>
      <c r="K77" s="5">
        <f>IF(J77="","",J77/60)</f>
      </c>
      <c r="L77" s="5">
        <f>IF(J77="","",(H77-J77)/60)</f>
      </c>
      <c r="M77" s="5">
        <f>IF(I77="Y",K77,0)</f>
      </c>
      <c r="N77" s="3">
        <f>IF(I77="Y",MAX(0,N(F77)),0)</f>
      </c>
      <c r="O77" s="5">
        <f>IF(M77&gt;0,N77/M77,"")</f>
      </c>
    </row>
    <row r="78" spans="1:15" x14ac:dyDescent="0.25">
      <c r="A78" s="2">
        <v>46300</v>
      </c>
      <c r="B78" s="10">
        <v>0.041666666666666664</v>
      </c>
      <c r="C78" s="10">
        <v>0.0625</v>
      </c>
      <c r="D78" s="11"/>
      <c r="E78" s="11"/>
      <c r="F78" s="11"/>
      <c r="G78" s="11"/>
      <c r="H78" s="11">
        <v>30</v>
      </c>
      <c r="I78" s="3">
        <f>IF(D78="","",IFERROR(VLOOKUP(D78,Setup!$A$2:$B$60,2,FALSE),""))</f>
      </c>
      <c r="J78" s="7">
        <f>IF(I78="","",MIN(MAX(0,IF(G78="",H78,G78)),H78))</f>
      </c>
      <c r="K78" s="5">
        <f>IF(J78="","",J78/60)</f>
      </c>
      <c r="L78" s="5">
        <f>IF(J78="","",(H78-J78)/60)</f>
      </c>
      <c r="M78" s="5">
        <f>IF(I78="Y",K78,0)</f>
      </c>
      <c r="N78" s="3">
        <f>IF(I78="Y",MAX(0,N(F78)),0)</f>
      </c>
      <c r="O78" s="5">
        <f>IF(M78&gt;0,N78/M78,"")</f>
      </c>
    </row>
    <row r="79" spans="1:15" x14ac:dyDescent="0.25">
      <c r="A79" s="2">
        <v>46300</v>
      </c>
      <c r="B79" s="10">
        <v>0.0625</v>
      </c>
      <c r="C79" s="10">
        <v>0.08333333333333333</v>
      </c>
      <c r="D79" s="11"/>
      <c r="E79" s="11"/>
      <c r="F79" s="11"/>
      <c r="G79" s="11"/>
      <c r="H79" s="11">
        <v>30</v>
      </c>
      <c r="I79" s="3">
        <f>IF(D79="","",IFERROR(VLOOKUP(D79,Setup!$A$2:$B$60,2,FALSE),""))</f>
      </c>
      <c r="J79" s="7">
        <f>IF(I79="","",MIN(MAX(0,IF(G79="",H79,G79)),H79))</f>
      </c>
      <c r="K79" s="5">
        <f>IF(J79="","",J79/60)</f>
      </c>
      <c r="L79" s="5">
        <f>IF(J79="","",(H79-J79)/60)</f>
      </c>
      <c r="M79" s="5">
        <f>IF(I79="Y",K79,0)</f>
      </c>
      <c r="N79" s="3">
        <f>IF(I79="Y",MAX(0,N(F79)),0)</f>
      </c>
      <c r="O79" s="5">
        <f>IF(M79&gt;0,N79/M79,"")</f>
      </c>
    </row>
    <row r="80" spans="1:15" x14ac:dyDescent="0.25">
      <c r="A80" s="2">
        <v>46300</v>
      </c>
      <c r="B80" s="10">
        <v>0.08333333333333333</v>
      </c>
      <c r="C80" s="10">
        <v>0.10416666666666667</v>
      </c>
      <c r="D80" s="11"/>
      <c r="E80" s="11"/>
      <c r="F80" s="11"/>
      <c r="G80" s="11"/>
      <c r="H80" s="11">
        <v>30</v>
      </c>
      <c r="I80" s="3">
        <f>IF(D80="","",IFERROR(VLOOKUP(D80,Setup!$A$2:$B$60,2,FALSE),""))</f>
      </c>
      <c r="J80" s="7">
        <f>IF(I80="","",MIN(MAX(0,IF(G80="",H80,G80)),H80))</f>
      </c>
      <c r="K80" s="5">
        <f>IF(J80="","",J80/60)</f>
      </c>
      <c r="L80" s="5">
        <f>IF(J80="","",(H80-J80)/60)</f>
      </c>
      <c r="M80" s="5">
        <f>IF(I80="Y",K80,0)</f>
      </c>
      <c r="N80" s="3">
        <f>IF(I80="Y",MAX(0,N(F80)),0)</f>
      </c>
      <c r="O80" s="5">
        <f>IF(M80&gt;0,N80/M80,"")</f>
      </c>
    </row>
    <row r="81" spans="1:15" x14ac:dyDescent="0.25">
      <c r="A81" s="2">
        <v>46300</v>
      </c>
      <c r="B81" s="10">
        <v>0.10416666666666667</v>
      </c>
      <c r="C81" s="10">
        <v>0.125</v>
      </c>
      <c r="D81" s="11"/>
      <c r="E81" s="11"/>
      <c r="F81" s="11"/>
      <c r="G81" s="11"/>
      <c r="H81" s="11">
        <v>30</v>
      </c>
      <c r="I81" s="3">
        <f>IF(D81="","",IFERROR(VLOOKUP(D81,Setup!$A$2:$B$60,2,FALSE),""))</f>
      </c>
      <c r="J81" s="7">
        <f>IF(I81="","",MIN(MAX(0,IF(G81="",H81,G81)),H81))</f>
      </c>
      <c r="K81" s="5">
        <f>IF(J81="","",J81/60)</f>
      </c>
      <c r="L81" s="5">
        <f>IF(J81="","",(H81-J81)/60)</f>
      </c>
      <c r="M81" s="5">
        <f>IF(I81="Y",K81,0)</f>
      </c>
      <c r="N81" s="3">
        <f>IF(I81="Y",MAX(0,N(F81)),0)</f>
      </c>
      <c r="O81" s="5">
        <f>IF(M81&gt;0,N81/M81,"")</f>
      </c>
    </row>
    <row r="82" spans="1:15" x14ac:dyDescent="0.25">
      <c r="A82" s="2">
        <v>46300</v>
      </c>
      <c r="B82" s="10">
        <v>0.125</v>
      </c>
      <c r="C82" s="10">
        <v>0.14583333333333334</v>
      </c>
      <c r="D82" s="11"/>
      <c r="E82" s="11"/>
      <c r="F82" s="11"/>
      <c r="G82" s="11"/>
      <c r="H82" s="11">
        <v>30</v>
      </c>
      <c r="I82" s="3">
        <f>IF(D82="","",IFERROR(VLOOKUP(D82,Setup!$A$2:$B$60,2,FALSE),""))</f>
      </c>
      <c r="J82" s="7">
        <f>IF(I82="","",MIN(MAX(0,IF(G82="",H82,G82)),H82))</f>
      </c>
      <c r="K82" s="5">
        <f>IF(J82="","",J82/60)</f>
      </c>
      <c r="L82" s="5">
        <f>IF(J82="","",(H82-J82)/60)</f>
      </c>
      <c r="M82" s="5">
        <f>IF(I82="Y",K82,0)</f>
      </c>
      <c r="N82" s="3">
        <f>IF(I82="Y",MAX(0,N(F82)),0)</f>
      </c>
      <c r="O82" s="5">
        <f>IF(M82&gt;0,N82/M82,"")</f>
      </c>
    </row>
    <row r="83" spans="1:15" x14ac:dyDescent="0.25">
      <c r="A83" s="2">
        <v>46300</v>
      </c>
      <c r="B83" s="10">
        <v>0.14583333333333334</v>
      </c>
      <c r="C83" s="10">
        <v>0.16666666666666666</v>
      </c>
      <c r="D83" s="11"/>
      <c r="E83" s="11"/>
      <c r="F83" s="11"/>
      <c r="G83" s="11"/>
      <c r="H83" s="11">
        <v>30</v>
      </c>
      <c r="I83" s="3">
        <f>IF(D83="","",IFERROR(VLOOKUP(D83,Setup!$A$2:$B$60,2,FALSE),""))</f>
      </c>
      <c r="J83" s="7">
        <f>IF(I83="","",MIN(MAX(0,IF(G83="",H83,G83)),H83))</f>
      </c>
      <c r="K83" s="5">
        <f>IF(J83="","",J83/60)</f>
      </c>
      <c r="L83" s="5">
        <f>IF(J83="","",(H83-J83)/60)</f>
      </c>
      <c r="M83" s="5">
        <f>IF(I83="Y",K83,0)</f>
      </c>
      <c r="N83" s="3">
        <f>IF(I83="Y",MAX(0,N(F83)),0)</f>
      </c>
      <c r="O83" s="5">
        <f>IF(M83&gt;0,N83/M83,"")</f>
      </c>
    </row>
    <row r="84" spans="1:15" x14ac:dyDescent="0.25">
      <c r="A84" s="2">
        <v>46300</v>
      </c>
      <c r="B84" s="10">
        <v>0.16666666666666666</v>
      </c>
      <c r="C84" s="10">
        <v>0.1875</v>
      </c>
      <c r="D84" s="11"/>
      <c r="E84" s="11"/>
      <c r="F84" s="11"/>
      <c r="G84" s="11"/>
      <c r="H84" s="11">
        <v>30</v>
      </c>
      <c r="I84" s="3">
        <f>IF(D84="","",IFERROR(VLOOKUP(D84,Setup!$A$2:$B$60,2,FALSE),""))</f>
      </c>
      <c r="J84" s="7">
        <f>IF(I84="","",MIN(MAX(0,IF(G84="",H84,G84)),H84))</f>
      </c>
      <c r="K84" s="5">
        <f>IF(J84="","",J84/60)</f>
      </c>
      <c r="L84" s="5">
        <f>IF(J84="","",(H84-J84)/60)</f>
      </c>
      <c r="M84" s="5">
        <f>IF(I84="Y",K84,0)</f>
      </c>
      <c r="N84" s="3">
        <f>IF(I84="Y",MAX(0,N(F84)),0)</f>
      </c>
      <c r="O84" s="5">
        <f>IF(M84&gt;0,N84/M84,"")</f>
      </c>
    </row>
    <row r="85" spans="1:15" x14ac:dyDescent="0.25">
      <c r="A85" s="2">
        <v>46300</v>
      </c>
      <c r="B85" s="10">
        <v>0.1875</v>
      </c>
      <c r="C85" s="10">
        <v>0.20833333333333334</v>
      </c>
      <c r="D85" s="11"/>
      <c r="E85" s="11"/>
      <c r="F85" s="11"/>
      <c r="G85" s="11"/>
      <c r="H85" s="11">
        <v>30</v>
      </c>
      <c r="I85" s="3">
        <f>IF(D85="","",IFERROR(VLOOKUP(D85,Setup!$A$2:$B$60,2,FALSE),""))</f>
      </c>
      <c r="J85" s="7">
        <f>IF(I85="","",MIN(MAX(0,IF(G85="",H85,G85)),H85))</f>
      </c>
      <c r="K85" s="5">
        <f>IF(J85="","",J85/60)</f>
      </c>
      <c r="L85" s="5">
        <f>IF(J85="","",(H85-J85)/60)</f>
      </c>
      <c r="M85" s="5">
        <f>IF(I85="Y",K85,0)</f>
      </c>
      <c r="N85" s="3">
        <f>IF(I85="Y",MAX(0,N(F85)),0)</f>
      </c>
      <c r="O85" s="5">
        <f>IF(M85&gt;0,N85/M85,"")</f>
      </c>
    </row>
    <row r="86" spans="1:15" x14ac:dyDescent="0.25">
      <c r="A86" s="2">
        <v>46300</v>
      </c>
      <c r="B86" s="10">
        <v>0.20833333333333334</v>
      </c>
      <c r="C86" s="10">
        <v>0.22916666666666666</v>
      </c>
      <c r="D86" s="11"/>
      <c r="E86" s="11"/>
      <c r="F86" s="11"/>
      <c r="G86" s="11"/>
      <c r="H86" s="11">
        <v>30</v>
      </c>
      <c r="I86" s="3">
        <f>IF(D86="","",IFERROR(VLOOKUP(D86,Setup!$A$2:$B$60,2,FALSE),""))</f>
      </c>
      <c r="J86" s="7">
        <f>IF(I86="","",MIN(MAX(0,IF(G86="",H86,G86)),H86))</f>
      </c>
      <c r="K86" s="5">
        <f>IF(J86="","",J86/60)</f>
      </c>
      <c r="L86" s="5">
        <f>IF(J86="","",(H86-J86)/60)</f>
      </c>
      <c r="M86" s="5">
        <f>IF(I86="Y",K86,0)</f>
      </c>
      <c r="N86" s="3">
        <f>IF(I86="Y",MAX(0,N(F86)),0)</f>
      </c>
      <c r="O86" s="5">
        <f>IF(M86&gt;0,N86/M86,"")</f>
      </c>
    </row>
    <row r="87" spans="1:15" x14ac:dyDescent="0.25">
      <c r="A87" s="2">
        <v>46300</v>
      </c>
      <c r="B87" s="10">
        <v>0.22916666666666666</v>
      </c>
      <c r="C87" s="10">
        <v>0.25</v>
      </c>
      <c r="D87" s="11"/>
      <c r="E87" s="11"/>
      <c r="F87" s="11"/>
      <c r="G87" s="11"/>
      <c r="H87" s="11">
        <v>30</v>
      </c>
      <c r="I87" s="3">
        <f>IF(D87="","",IFERROR(VLOOKUP(D87,Setup!$A$2:$B$60,2,FALSE),""))</f>
      </c>
      <c r="J87" s="7">
        <f>IF(I87="","",MIN(MAX(0,IF(G87="",H87,G87)),H87))</f>
      </c>
      <c r="K87" s="5">
        <f>IF(J87="","",J87/60)</f>
      </c>
      <c r="L87" s="5">
        <f>IF(J87="","",(H87-J87)/60)</f>
      </c>
      <c r="M87" s="5">
        <f>IF(I87="Y",K87,0)</f>
      </c>
      <c r="N87" s="3">
        <f>IF(I87="Y",MAX(0,N(F87)),0)</f>
      </c>
      <c r="O87" s="5">
        <f>IF(M87&gt;0,N87/M87,"")</f>
      </c>
    </row>
    <row r="88" spans="1:15" x14ac:dyDescent="0.25">
      <c r="A88" s="2">
        <v>46300</v>
      </c>
      <c r="B88" s="10">
        <v>0.25</v>
      </c>
      <c r="C88" s="10">
        <v>0.2708333333333333</v>
      </c>
      <c r="D88" s="11"/>
      <c r="E88" s="11"/>
      <c r="F88" s="11"/>
      <c r="G88" s="11"/>
      <c r="H88" s="11">
        <v>30</v>
      </c>
      <c r="I88" s="3">
        <f>IF(D88="","",IFERROR(VLOOKUP(D88,Setup!$A$2:$B$60,2,FALSE),""))</f>
      </c>
      <c r="J88" s="7">
        <f>IF(I88="","",MIN(MAX(0,IF(G88="",H88,G88)),H88))</f>
      </c>
      <c r="K88" s="5">
        <f>IF(J88="","",J88/60)</f>
      </c>
      <c r="L88" s="5">
        <f>IF(J88="","",(H88-J88)/60)</f>
      </c>
      <c r="M88" s="5">
        <f>IF(I88="Y",K88,0)</f>
      </c>
      <c r="N88" s="3">
        <f>IF(I88="Y",MAX(0,N(F88)),0)</f>
      </c>
      <c r="O88" s="5">
        <f>IF(M88&gt;0,N88/M88,"")</f>
      </c>
    </row>
    <row r="89" spans="1:15" x14ac:dyDescent="0.25">
      <c r="A89" s="2">
        <v>46300</v>
      </c>
      <c r="B89" s="10">
        <v>0.2708333333333333</v>
      </c>
      <c r="C89" s="10">
        <v>0.2916666666666667</v>
      </c>
      <c r="D89" s="11"/>
      <c r="E89" s="11"/>
      <c r="F89" s="11"/>
      <c r="G89" s="11"/>
      <c r="H89" s="11">
        <v>30</v>
      </c>
      <c r="I89" s="3">
        <f>IF(D89="","",IFERROR(VLOOKUP(D89,Setup!$A$2:$B$60,2,FALSE),""))</f>
      </c>
      <c r="J89" s="7">
        <f>IF(I89="","",MIN(MAX(0,IF(G89="",H89,G89)),H89))</f>
      </c>
      <c r="K89" s="5">
        <f>IF(J89="","",J89/60)</f>
      </c>
      <c r="L89" s="5">
        <f>IF(J89="","",(H89-J89)/60)</f>
      </c>
      <c r="M89" s="5">
        <f>IF(I89="Y",K89,0)</f>
      </c>
      <c r="N89" s="3">
        <f>IF(I89="Y",MAX(0,N(F89)),0)</f>
      </c>
      <c r="O89" s="5">
        <f>IF(M89&gt;0,N89/M89,"")</f>
      </c>
    </row>
    <row r="90" spans="1:15" x14ac:dyDescent="0.25">
      <c r="A90" s="2">
        <v>46300</v>
      </c>
      <c r="B90" s="10">
        <v>0.2916666666666667</v>
      </c>
      <c r="C90" s="10">
        <v>0.3125</v>
      </c>
      <c r="D90" s="11"/>
      <c r="E90" s="11"/>
      <c r="F90" s="11"/>
      <c r="G90" s="11"/>
      <c r="H90" s="11">
        <v>30</v>
      </c>
      <c r="I90" s="3">
        <f>IF(D90="","",IFERROR(VLOOKUP(D90,Setup!$A$2:$B$60,2,FALSE),""))</f>
      </c>
      <c r="J90" s="7">
        <f>IF(I90="","",MIN(MAX(0,IF(G90="",H90,G90)),H90))</f>
      </c>
      <c r="K90" s="5">
        <f>IF(J90="","",J90/60)</f>
      </c>
      <c r="L90" s="5">
        <f>IF(J90="","",(H90-J90)/60)</f>
      </c>
      <c r="M90" s="5">
        <f>IF(I90="Y",K90,0)</f>
      </c>
      <c r="N90" s="3">
        <f>IF(I90="Y",MAX(0,N(F90)),0)</f>
      </c>
      <c r="O90" s="5">
        <f>IF(M90&gt;0,N90/M90,"")</f>
      </c>
    </row>
    <row r="91" spans="1:15" x14ac:dyDescent="0.25">
      <c r="A91" s="2">
        <v>46300</v>
      </c>
      <c r="B91" s="10">
        <v>0.3125</v>
      </c>
      <c r="C91" s="10">
        <v>0.3333333333333333</v>
      </c>
      <c r="D91" s="11"/>
      <c r="E91" s="11"/>
      <c r="F91" s="11"/>
      <c r="G91" s="11"/>
      <c r="H91" s="11">
        <v>30</v>
      </c>
      <c r="I91" s="3">
        <f>IF(D91="","",IFERROR(VLOOKUP(D91,Setup!$A$2:$B$60,2,FALSE),""))</f>
      </c>
      <c r="J91" s="7">
        <f>IF(I91="","",MIN(MAX(0,IF(G91="",H91,G91)),H91))</f>
      </c>
      <c r="K91" s="5">
        <f>IF(J91="","",J91/60)</f>
      </c>
      <c r="L91" s="5">
        <f>IF(J91="","",(H91-J91)/60)</f>
      </c>
      <c r="M91" s="5">
        <f>IF(I91="Y",K91,0)</f>
      </c>
      <c r="N91" s="3">
        <f>IF(I91="Y",MAX(0,N(F91)),0)</f>
      </c>
      <c r="O91" s="5">
        <f>IF(M91&gt;0,N91/M91,"")</f>
      </c>
    </row>
    <row r="92" spans="1:15" x14ac:dyDescent="0.25">
      <c r="A92" s="2">
        <v>46301</v>
      </c>
      <c r="B92" s="10">
        <v>0.9583333333333334</v>
      </c>
      <c r="C92" s="10">
        <v>0.9791666666666666</v>
      </c>
      <c r="D92" s="11"/>
      <c r="E92" s="11"/>
      <c r="F92" s="11"/>
      <c r="G92" s="11"/>
      <c r="H92" s="11">
        <v>30</v>
      </c>
      <c r="I92" s="3">
        <f>IF(D92="","",IFERROR(VLOOKUP(D92,Setup!$A$2:$B$60,2,FALSE),""))</f>
      </c>
      <c r="J92" s="7">
        <f>IF(I92="","",MIN(MAX(0,IF(G92="",H92,G92)),H92))</f>
      </c>
      <c r="K92" s="5">
        <f>IF(J92="","",J92/60)</f>
      </c>
      <c r="L92" s="5">
        <f>IF(J92="","",(H92-J92)/60)</f>
      </c>
      <c r="M92" s="5">
        <f>IF(I92="Y",K92,0)</f>
      </c>
      <c r="N92" s="3">
        <f>IF(I92="Y",MAX(0,N(F92)),0)</f>
      </c>
      <c r="O92" s="5">
        <f>IF(M92&gt;0,N92/M92,"")</f>
      </c>
    </row>
    <row r="93" spans="1:15" x14ac:dyDescent="0.25">
      <c r="A93" s="2">
        <v>46301</v>
      </c>
      <c r="B93" s="10">
        <v>0.9791666666666666</v>
      </c>
      <c r="C93" s="10">
        <v>0</v>
      </c>
      <c r="D93" s="11"/>
      <c r="E93" s="11"/>
      <c r="F93" s="11"/>
      <c r="G93" s="11"/>
      <c r="H93" s="11">
        <v>30</v>
      </c>
      <c r="I93" s="3">
        <f>IF(D93="","",IFERROR(VLOOKUP(D93,Setup!$A$2:$B$60,2,FALSE),""))</f>
      </c>
      <c r="J93" s="7">
        <f>IF(I93="","",MIN(MAX(0,IF(G93="",H93,G93)),H93))</f>
      </c>
      <c r="K93" s="5">
        <f>IF(J93="","",J93/60)</f>
      </c>
      <c r="L93" s="5">
        <f>IF(J93="","",(H93-J93)/60)</f>
      </c>
      <c r="M93" s="5">
        <f>IF(I93="Y",K93,0)</f>
      </c>
      <c r="N93" s="3">
        <f>IF(I93="Y",MAX(0,N(F93)),0)</f>
      </c>
      <c r="O93" s="5">
        <f>IF(M93&gt;0,N93/M93,"")</f>
      </c>
    </row>
    <row r="94" spans="1:15" x14ac:dyDescent="0.25">
      <c r="A94" s="2">
        <v>46301</v>
      </c>
      <c r="B94" s="10">
        <v>0</v>
      </c>
      <c r="C94" s="10">
        <v>0.020833333333333332</v>
      </c>
      <c r="D94" s="11"/>
      <c r="E94" s="11"/>
      <c r="F94" s="11"/>
      <c r="G94" s="11"/>
      <c r="H94" s="11">
        <v>30</v>
      </c>
      <c r="I94" s="3">
        <f>IF(D94="","",IFERROR(VLOOKUP(D94,Setup!$A$2:$B$60,2,FALSE),""))</f>
      </c>
      <c r="J94" s="7">
        <f>IF(I94="","",MIN(MAX(0,IF(G94="",H94,G94)),H94))</f>
      </c>
      <c r="K94" s="5">
        <f>IF(J94="","",J94/60)</f>
      </c>
      <c r="L94" s="5">
        <f>IF(J94="","",(H94-J94)/60)</f>
      </c>
      <c r="M94" s="5">
        <f>IF(I94="Y",K94,0)</f>
      </c>
      <c r="N94" s="3">
        <f>IF(I94="Y",MAX(0,N(F94)),0)</f>
      </c>
      <c r="O94" s="5">
        <f>IF(M94&gt;0,N94/M94,"")</f>
      </c>
    </row>
    <row r="95" spans="1:15" x14ac:dyDescent="0.25">
      <c r="A95" s="2">
        <v>46301</v>
      </c>
      <c r="B95" s="10">
        <v>0.020833333333333332</v>
      </c>
      <c r="C95" s="10">
        <v>0.041666666666666664</v>
      </c>
      <c r="D95" s="11"/>
      <c r="E95" s="11"/>
      <c r="F95" s="11"/>
      <c r="G95" s="11"/>
      <c r="H95" s="11">
        <v>30</v>
      </c>
      <c r="I95" s="3">
        <f>IF(D95="","",IFERROR(VLOOKUP(D95,Setup!$A$2:$B$60,2,FALSE),""))</f>
      </c>
      <c r="J95" s="7">
        <f>IF(I95="","",MIN(MAX(0,IF(G95="",H95,G95)),H95))</f>
      </c>
      <c r="K95" s="5">
        <f>IF(J95="","",J95/60)</f>
      </c>
      <c r="L95" s="5">
        <f>IF(J95="","",(H95-J95)/60)</f>
      </c>
      <c r="M95" s="5">
        <f>IF(I95="Y",K95,0)</f>
      </c>
      <c r="N95" s="3">
        <f>IF(I95="Y",MAX(0,N(F95)),0)</f>
      </c>
      <c r="O95" s="5">
        <f>IF(M95&gt;0,N95/M95,"")</f>
      </c>
    </row>
    <row r="96" spans="1:15" x14ac:dyDescent="0.25">
      <c r="A96" s="2">
        <v>46301</v>
      </c>
      <c r="B96" s="10">
        <v>0.041666666666666664</v>
      </c>
      <c r="C96" s="10">
        <v>0.0625</v>
      </c>
      <c r="D96" s="11"/>
      <c r="E96" s="11"/>
      <c r="F96" s="11"/>
      <c r="G96" s="11"/>
      <c r="H96" s="11">
        <v>30</v>
      </c>
      <c r="I96" s="3">
        <f>IF(D96="","",IFERROR(VLOOKUP(D96,Setup!$A$2:$B$60,2,FALSE),""))</f>
      </c>
      <c r="J96" s="7">
        <f>IF(I96="","",MIN(MAX(0,IF(G96="",H96,G96)),H96))</f>
      </c>
      <c r="K96" s="5">
        <f>IF(J96="","",J96/60)</f>
      </c>
      <c r="L96" s="5">
        <f>IF(J96="","",(H96-J96)/60)</f>
      </c>
      <c r="M96" s="5">
        <f>IF(I96="Y",K96,0)</f>
      </c>
      <c r="N96" s="3">
        <f>IF(I96="Y",MAX(0,N(F96)),0)</f>
      </c>
      <c r="O96" s="5">
        <f>IF(M96&gt;0,N96/M96,"")</f>
      </c>
    </row>
    <row r="97" spans="1:15" x14ac:dyDescent="0.25">
      <c r="A97" s="2">
        <v>46301</v>
      </c>
      <c r="B97" s="10">
        <v>0.0625</v>
      </c>
      <c r="C97" s="10">
        <v>0.08333333333333333</v>
      </c>
      <c r="D97" s="11"/>
      <c r="E97" s="11"/>
      <c r="F97" s="11"/>
      <c r="G97" s="11"/>
      <c r="H97" s="11">
        <v>30</v>
      </c>
      <c r="I97" s="3">
        <f>IF(D97="","",IFERROR(VLOOKUP(D97,Setup!$A$2:$B$60,2,FALSE),""))</f>
      </c>
      <c r="J97" s="7">
        <f>IF(I97="","",MIN(MAX(0,IF(G97="",H97,G97)),H97))</f>
      </c>
      <c r="K97" s="5">
        <f>IF(J97="","",J97/60)</f>
      </c>
      <c r="L97" s="5">
        <f>IF(J97="","",(H97-J97)/60)</f>
      </c>
      <c r="M97" s="5">
        <f>IF(I97="Y",K97,0)</f>
      </c>
      <c r="N97" s="3">
        <f>IF(I97="Y",MAX(0,N(F97)),0)</f>
      </c>
      <c r="O97" s="5">
        <f>IF(M97&gt;0,N97/M97,"")</f>
      </c>
    </row>
    <row r="98" spans="1:15" x14ac:dyDescent="0.25">
      <c r="A98" s="2">
        <v>46301</v>
      </c>
      <c r="B98" s="10">
        <v>0.08333333333333333</v>
      </c>
      <c r="C98" s="10">
        <v>0.10416666666666667</v>
      </c>
      <c r="D98" s="11"/>
      <c r="E98" s="11"/>
      <c r="F98" s="11"/>
      <c r="G98" s="11"/>
      <c r="H98" s="11">
        <v>30</v>
      </c>
      <c r="I98" s="3">
        <f>IF(D98="","",IFERROR(VLOOKUP(D98,Setup!$A$2:$B$60,2,FALSE),""))</f>
      </c>
      <c r="J98" s="7">
        <f>IF(I98="","",MIN(MAX(0,IF(G98="",H98,G98)),H98))</f>
      </c>
      <c r="K98" s="5">
        <f>IF(J98="","",J98/60)</f>
      </c>
      <c r="L98" s="5">
        <f>IF(J98="","",(H98-J98)/60)</f>
      </c>
      <c r="M98" s="5">
        <f>IF(I98="Y",K98,0)</f>
      </c>
      <c r="N98" s="3">
        <f>IF(I98="Y",MAX(0,N(F98)),0)</f>
      </c>
      <c r="O98" s="5">
        <f>IF(M98&gt;0,N98/M98,"")</f>
      </c>
    </row>
    <row r="99" spans="1:15" x14ac:dyDescent="0.25">
      <c r="A99" s="2">
        <v>46301</v>
      </c>
      <c r="B99" s="10">
        <v>0.10416666666666667</v>
      </c>
      <c r="C99" s="10">
        <v>0.125</v>
      </c>
      <c r="D99" s="11"/>
      <c r="E99" s="11"/>
      <c r="F99" s="11"/>
      <c r="G99" s="11"/>
      <c r="H99" s="11">
        <v>30</v>
      </c>
      <c r="I99" s="3">
        <f>IF(D99="","",IFERROR(VLOOKUP(D99,Setup!$A$2:$B$60,2,FALSE),""))</f>
      </c>
      <c r="J99" s="7">
        <f>IF(I99="","",MIN(MAX(0,IF(G99="",H99,G99)),H99))</f>
      </c>
      <c r="K99" s="5">
        <f>IF(J99="","",J99/60)</f>
      </c>
      <c r="L99" s="5">
        <f>IF(J99="","",(H99-J99)/60)</f>
      </c>
      <c r="M99" s="5">
        <f>IF(I99="Y",K99,0)</f>
      </c>
      <c r="N99" s="3">
        <f>IF(I99="Y",MAX(0,N(F99)),0)</f>
      </c>
      <c r="O99" s="5">
        <f>IF(M99&gt;0,N99/M99,"")</f>
      </c>
    </row>
    <row r="100" spans="1:15" x14ac:dyDescent="0.25">
      <c r="A100" s="2">
        <v>46301</v>
      </c>
      <c r="B100" s="10">
        <v>0.125</v>
      </c>
      <c r="C100" s="10">
        <v>0.14583333333333334</v>
      </c>
      <c r="D100" s="11"/>
      <c r="E100" s="11"/>
      <c r="F100" s="11"/>
      <c r="G100" s="11"/>
      <c r="H100" s="11">
        <v>30</v>
      </c>
      <c r="I100" s="3">
        <f>IF(D100="","",IFERROR(VLOOKUP(D100,Setup!$A$2:$B$60,2,FALSE),""))</f>
      </c>
      <c r="J100" s="7">
        <f>IF(I100="","",MIN(MAX(0,IF(G100="",H100,G100)),H100))</f>
      </c>
      <c r="K100" s="5">
        <f>IF(J100="","",J100/60)</f>
      </c>
      <c r="L100" s="5">
        <f>IF(J100="","",(H100-J100)/60)</f>
      </c>
      <c r="M100" s="5">
        <f>IF(I100="Y",K100,0)</f>
      </c>
      <c r="N100" s="3">
        <f>IF(I100="Y",MAX(0,N(F100)),0)</f>
      </c>
      <c r="O100" s="5">
        <f>IF(M100&gt;0,N100/M100,"")</f>
      </c>
    </row>
    <row r="101" spans="1:15" x14ac:dyDescent="0.25">
      <c r="A101" s="2">
        <v>46301</v>
      </c>
      <c r="B101" s="10">
        <v>0.14583333333333334</v>
      </c>
      <c r="C101" s="10">
        <v>0.16666666666666666</v>
      </c>
      <c r="D101" s="11"/>
      <c r="E101" s="11"/>
      <c r="F101" s="11"/>
      <c r="G101" s="11"/>
      <c r="H101" s="11">
        <v>30</v>
      </c>
      <c r="I101" s="3">
        <f>IF(D101="","",IFERROR(VLOOKUP(D101,Setup!$A$2:$B$60,2,FALSE),""))</f>
      </c>
      <c r="J101" s="7">
        <f>IF(I101="","",MIN(MAX(0,IF(G101="",H101,G101)),H101))</f>
      </c>
      <c r="K101" s="5">
        <f>IF(J101="","",J101/60)</f>
      </c>
      <c r="L101" s="5">
        <f>IF(J101="","",(H101-J101)/60)</f>
      </c>
      <c r="M101" s="5">
        <f>IF(I101="Y",K101,0)</f>
      </c>
      <c r="N101" s="3">
        <f>IF(I101="Y",MAX(0,N(F101)),0)</f>
      </c>
      <c r="O101" s="5">
        <f>IF(M101&gt;0,N101/M101,"")</f>
      </c>
    </row>
    <row r="102" spans="1:15" x14ac:dyDescent="0.25">
      <c r="A102" s="2">
        <v>46301</v>
      </c>
      <c r="B102" s="10">
        <v>0.16666666666666666</v>
      </c>
      <c r="C102" s="10">
        <v>0.1875</v>
      </c>
      <c r="D102" s="11"/>
      <c r="E102" s="11"/>
      <c r="F102" s="11"/>
      <c r="G102" s="11"/>
      <c r="H102" s="11">
        <v>30</v>
      </c>
      <c r="I102" s="3">
        <f>IF(D102="","",IFERROR(VLOOKUP(D102,Setup!$A$2:$B$60,2,FALSE),""))</f>
      </c>
      <c r="J102" s="7">
        <f>IF(I102="","",MIN(MAX(0,IF(G102="",H102,G102)),H102))</f>
      </c>
      <c r="K102" s="5">
        <f>IF(J102="","",J102/60)</f>
      </c>
      <c r="L102" s="5">
        <f>IF(J102="","",(H102-J102)/60)</f>
      </c>
      <c r="M102" s="5">
        <f>IF(I102="Y",K102,0)</f>
      </c>
      <c r="N102" s="3">
        <f>IF(I102="Y",MAX(0,N(F102)),0)</f>
      </c>
      <c r="O102" s="5">
        <f>IF(M102&gt;0,N102/M102,"")</f>
      </c>
    </row>
    <row r="103" spans="1:15" x14ac:dyDescent="0.25">
      <c r="A103" s="2">
        <v>46301</v>
      </c>
      <c r="B103" s="10">
        <v>0.1875</v>
      </c>
      <c r="C103" s="10">
        <v>0.20833333333333334</v>
      </c>
      <c r="D103" s="11"/>
      <c r="E103" s="11"/>
      <c r="F103" s="11"/>
      <c r="G103" s="11"/>
      <c r="H103" s="11">
        <v>30</v>
      </c>
      <c r="I103" s="3">
        <f>IF(D103="","",IFERROR(VLOOKUP(D103,Setup!$A$2:$B$60,2,FALSE),""))</f>
      </c>
      <c r="J103" s="7">
        <f>IF(I103="","",MIN(MAX(0,IF(G103="",H103,G103)),H103))</f>
      </c>
      <c r="K103" s="5">
        <f>IF(J103="","",J103/60)</f>
      </c>
      <c r="L103" s="5">
        <f>IF(J103="","",(H103-J103)/60)</f>
      </c>
      <c r="M103" s="5">
        <f>IF(I103="Y",K103,0)</f>
      </c>
      <c r="N103" s="3">
        <f>IF(I103="Y",MAX(0,N(F103)),0)</f>
      </c>
      <c r="O103" s="5">
        <f>IF(M103&gt;0,N103/M103,"")</f>
      </c>
    </row>
    <row r="104" spans="1:15" x14ac:dyDescent="0.25">
      <c r="A104" s="2">
        <v>46301</v>
      </c>
      <c r="B104" s="10">
        <v>0.20833333333333334</v>
      </c>
      <c r="C104" s="10">
        <v>0.22916666666666666</v>
      </c>
      <c r="D104" s="11"/>
      <c r="E104" s="11"/>
      <c r="F104" s="11"/>
      <c r="G104" s="11"/>
      <c r="H104" s="11">
        <v>30</v>
      </c>
      <c r="I104" s="3">
        <f>IF(D104="","",IFERROR(VLOOKUP(D104,Setup!$A$2:$B$60,2,FALSE),""))</f>
      </c>
      <c r="J104" s="7">
        <f>IF(I104="","",MIN(MAX(0,IF(G104="",H104,G104)),H104))</f>
      </c>
      <c r="K104" s="5">
        <f>IF(J104="","",J104/60)</f>
      </c>
      <c r="L104" s="5">
        <f>IF(J104="","",(H104-J104)/60)</f>
      </c>
      <c r="M104" s="5">
        <f>IF(I104="Y",K104,0)</f>
      </c>
      <c r="N104" s="3">
        <f>IF(I104="Y",MAX(0,N(F104)),0)</f>
      </c>
      <c r="O104" s="5">
        <f>IF(M104&gt;0,N104/M104,"")</f>
      </c>
    </row>
    <row r="105" spans="1:15" x14ac:dyDescent="0.25">
      <c r="A105" s="2">
        <v>46301</v>
      </c>
      <c r="B105" s="10">
        <v>0.22916666666666666</v>
      </c>
      <c r="C105" s="10">
        <v>0.25</v>
      </c>
      <c r="D105" s="11"/>
      <c r="E105" s="11"/>
      <c r="F105" s="11"/>
      <c r="G105" s="11"/>
      <c r="H105" s="11">
        <v>30</v>
      </c>
      <c r="I105" s="3">
        <f>IF(D105="","",IFERROR(VLOOKUP(D105,Setup!$A$2:$B$60,2,FALSE),""))</f>
      </c>
      <c r="J105" s="7">
        <f>IF(I105="","",MIN(MAX(0,IF(G105="",H105,G105)),H105))</f>
      </c>
      <c r="K105" s="5">
        <f>IF(J105="","",J105/60)</f>
      </c>
      <c r="L105" s="5">
        <f>IF(J105="","",(H105-J105)/60)</f>
      </c>
      <c r="M105" s="5">
        <f>IF(I105="Y",K105,0)</f>
      </c>
      <c r="N105" s="3">
        <f>IF(I105="Y",MAX(0,N(F105)),0)</f>
      </c>
      <c r="O105" s="5">
        <f>IF(M105&gt;0,N105/M105,"")</f>
      </c>
    </row>
    <row r="106" spans="1:15" x14ac:dyDescent="0.25">
      <c r="A106" s="2">
        <v>46301</v>
      </c>
      <c r="B106" s="10">
        <v>0.25</v>
      </c>
      <c r="C106" s="10">
        <v>0.2708333333333333</v>
      </c>
      <c r="D106" s="11"/>
      <c r="E106" s="11"/>
      <c r="F106" s="11"/>
      <c r="G106" s="11"/>
      <c r="H106" s="11">
        <v>30</v>
      </c>
      <c r="I106" s="3">
        <f>IF(D106="","",IFERROR(VLOOKUP(D106,Setup!$A$2:$B$60,2,FALSE),""))</f>
      </c>
      <c r="J106" s="7">
        <f>IF(I106="","",MIN(MAX(0,IF(G106="",H106,G106)),H106))</f>
      </c>
      <c r="K106" s="5">
        <f>IF(J106="","",J106/60)</f>
      </c>
      <c r="L106" s="5">
        <f>IF(J106="","",(H106-J106)/60)</f>
      </c>
      <c r="M106" s="5">
        <f>IF(I106="Y",K106,0)</f>
      </c>
      <c r="N106" s="3">
        <f>IF(I106="Y",MAX(0,N(F106)),0)</f>
      </c>
      <c r="O106" s="5">
        <f>IF(M106&gt;0,N106/M106,"")</f>
      </c>
    </row>
    <row r="107" spans="1:15" x14ac:dyDescent="0.25">
      <c r="A107" s="2">
        <v>46301</v>
      </c>
      <c r="B107" s="10">
        <v>0.2708333333333333</v>
      </c>
      <c r="C107" s="10">
        <v>0.2916666666666667</v>
      </c>
      <c r="D107" s="11"/>
      <c r="E107" s="11"/>
      <c r="F107" s="11"/>
      <c r="G107" s="11"/>
      <c r="H107" s="11">
        <v>30</v>
      </c>
      <c r="I107" s="3">
        <f>IF(D107="","",IFERROR(VLOOKUP(D107,Setup!$A$2:$B$60,2,FALSE),""))</f>
      </c>
      <c r="J107" s="7">
        <f>IF(I107="","",MIN(MAX(0,IF(G107="",H107,G107)),H107))</f>
      </c>
      <c r="K107" s="5">
        <f>IF(J107="","",J107/60)</f>
      </c>
      <c r="L107" s="5">
        <f>IF(J107="","",(H107-J107)/60)</f>
      </c>
      <c r="M107" s="5">
        <f>IF(I107="Y",K107,0)</f>
      </c>
      <c r="N107" s="3">
        <f>IF(I107="Y",MAX(0,N(F107)),0)</f>
      </c>
      <c r="O107" s="5">
        <f>IF(M107&gt;0,N107/M107,"")</f>
      </c>
    </row>
    <row r="108" spans="1:15" x14ac:dyDescent="0.25">
      <c r="A108" s="2">
        <v>46301</v>
      </c>
      <c r="B108" s="10">
        <v>0.2916666666666667</v>
      </c>
      <c r="C108" s="10">
        <v>0.3125</v>
      </c>
      <c r="D108" s="11"/>
      <c r="E108" s="11"/>
      <c r="F108" s="11"/>
      <c r="G108" s="11"/>
      <c r="H108" s="11">
        <v>30</v>
      </c>
      <c r="I108" s="3">
        <f>IF(D108="","",IFERROR(VLOOKUP(D108,Setup!$A$2:$B$60,2,FALSE),""))</f>
      </c>
      <c r="J108" s="7">
        <f>IF(I108="","",MIN(MAX(0,IF(G108="",H108,G108)),H108))</f>
      </c>
      <c r="K108" s="5">
        <f>IF(J108="","",J108/60)</f>
      </c>
      <c r="L108" s="5">
        <f>IF(J108="","",(H108-J108)/60)</f>
      </c>
      <c r="M108" s="5">
        <f>IF(I108="Y",K108,0)</f>
      </c>
      <c r="N108" s="3">
        <f>IF(I108="Y",MAX(0,N(F108)),0)</f>
      </c>
      <c r="O108" s="5">
        <f>IF(M108&gt;0,N108/M108,"")</f>
      </c>
    </row>
    <row r="109" spans="1:15" x14ac:dyDescent="0.25">
      <c r="A109" s="2">
        <v>46301</v>
      </c>
      <c r="B109" s="10">
        <v>0.3125</v>
      </c>
      <c r="C109" s="10">
        <v>0.3333333333333333</v>
      </c>
      <c r="D109" s="11"/>
      <c r="E109" s="11"/>
      <c r="F109" s="11"/>
      <c r="G109" s="11"/>
      <c r="H109" s="11">
        <v>30</v>
      </c>
      <c r="I109" s="3">
        <f>IF(D109="","",IFERROR(VLOOKUP(D109,Setup!$A$2:$B$60,2,FALSE),""))</f>
      </c>
      <c r="J109" s="7">
        <f>IF(I109="","",MIN(MAX(0,IF(G109="",H109,G109)),H109))</f>
      </c>
      <c r="K109" s="5">
        <f>IF(J109="","",J109/60)</f>
      </c>
      <c r="L109" s="5">
        <f>IF(J109="","",(H109-J109)/60)</f>
      </c>
      <c r="M109" s="5">
        <f>IF(I109="Y",K109,0)</f>
      </c>
      <c r="N109" s="3">
        <f>IF(I109="Y",MAX(0,N(F109)),0)</f>
      </c>
      <c r="O109" s="5">
        <f>IF(M109&gt;0,N109/M109,"")</f>
      </c>
    </row>
    <row r="110" spans="1:15" x14ac:dyDescent="0.25">
      <c r="A110" s="2">
        <v>46302</v>
      </c>
      <c r="B110" s="10">
        <v>0.9583333333333334</v>
      </c>
      <c r="C110" s="10">
        <v>0.9791666666666666</v>
      </c>
      <c r="D110" s="11"/>
      <c r="E110" s="11"/>
      <c r="F110" s="11"/>
      <c r="G110" s="11"/>
      <c r="H110" s="11">
        <v>30</v>
      </c>
      <c r="I110" s="3">
        <f>IF(D110="","",IFERROR(VLOOKUP(D110,Setup!$A$2:$B$60,2,FALSE),""))</f>
      </c>
      <c r="J110" s="7">
        <f>IF(I110="","",MIN(MAX(0,IF(G110="",H110,G110)),H110))</f>
      </c>
      <c r="K110" s="5">
        <f>IF(J110="","",J110/60)</f>
      </c>
      <c r="L110" s="5">
        <f>IF(J110="","",(H110-J110)/60)</f>
      </c>
      <c r="M110" s="5">
        <f>IF(I110="Y",K110,0)</f>
      </c>
      <c r="N110" s="3">
        <f>IF(I110="Y",MAX(0,N(F110)),0)</f>
      </c>
      <c r="O110" s="5">
        <f>IF(M110&gt;0,N110/M110,"")</f>
      </c>
    </row>
    <row r="111" spans="1:15" x14ac:dyDescent="0.25">
      <c r="A111" s="2">
        <v>46302</v>
      </c>
      <c r="B111" s="10">
        <v>0.9791666666666666</v>
      </c>
      <c r="C111" s="10">
        <v>0</v>
      </c>
      <c r="D111" s="11"/>
      <c r="E111" s="11"/>
      <c r="F111" s="11"/>
      <c r="G111" s="11"/>
      <c r="H111" s="11">
        <v>30</v>
      </c>
      <c r="I111" s="3">
        <f>IF(D111="","",IFERROR(VLOOKUP(D111,Setup!$A$2:$B$60,2,FALSE),""))</f>
      </c>
      <c r="J111" s="7">
        <f>IF(I111="","",MIN(MAX(0,IF(G111="",H111,G111)),H111))</f>
      </c>
      <c r="K111" s="5">
        <f>IF(J111="","",J111/60)</f>
      </c>
      <c r="L111" s="5">
        <f>IF(J111="","",(H111-J111)/60)</f>
      </c>
      <c r="M111" s="5">
        <f>IF(I111="Y",K111,0)</f>
      </c>
      <c r="N111" s="3">
        <f>IF(I111="Y",MAX(0,N(F111)),0)</f>
      </c>
      <c r="O111" s="5">
        <f>IF(M111&gt;0,N111/M111,"")</f>
      </c>
    </row>
    <row r="112" spans="1:15" x14ac:dyDescent="0.25">
      <c r="A112" s="2">
        <v>46302</v>
      </c>
      <c r="B112" s="10">
        <v>0</v>
      </c>
      <c r="C112" s="10">
        <v>0.020833333333333332</v>
      </c>
      <c r="D112" s="11"/>
      <c r="E112" s="11"/>
      <c r="F112" s="11"/>
      <c r="G112" s="11"/>
      <c r="H112" s="11">
        <v>30</v>
      </c>
      <c r="I112" s="3">
        <f>IF(D112="","",IFERROR(VLOOKUP(D112,Setup!$A$2:$B$60,2,FALSE),""))</f>
      </c>
      <c r="J112" s="7">
        <f>IF(I112="","",MIN(MAX(0,IF(G112="",H112,G112)),H112))</f>
      </c>
      <c r="K112" s="5">
        <f>IF(J112="","",J112/60)</f>
      </c>
      <c r="L112" s="5">
        <f>IF(J112="","",(H112-J112)/60)</f>
      </c>
      <c r="M112" s="5">
        <f>IF(I112="Y",K112,0)</f>
      </c>
      <c r="N112" s="3">
        <f>IF(I112="Y",MAX(0,N(F112)),0)</f>
      </c>
      <c r="O112" s="5">
        <f>IF(M112&gt;0,N112/M112,"")</f>
      </c>
    </row>
    <row r="113" spans="1:15" x14ac:dyDescent="0.25">
      <c r="A113" s="2">
        <v>46302</v>
      </c>
      <c r="B113" s="10">
        <v>0.020833333333333332</v>
      </c>
      <c r="C113" s="10">
        <v>0.041666666666666664</v>
      </c>
      <c r="D113" s="11"/>
      <c r="E113" s="11"/>
      <c r="F113" s="11"/>
      <c r="G113" s="11"/>
      <c r="H113" s="11">
        <v>30</v>
      </c>
      <c r="I113" s="3">
        <f>IF(D113="","",IFERROR(VLOOKUP(D113,Setup!$A$2:$B$60,2,FALSE),""))</f>
      </c>
      <c r="J113" s="7">
        <f>IF(I113="","",MIN(MAX(0,IF(G113="",H113,G113)),H113))</f>
      </c>
      <c r="K113" s="5">
        <f>IF(J113="","",J113/60)</f>
      </c>
      <c r="L113" s="5">
        <f>IF(J113="","",(H113-J113)/60)</f>
      </c>
      <c r="M113" s="5">
        <f>IF(I113="Y",K113,0)</f>
      </c>
      <c r="N113" s="3">
        <f>IF(I113="Y",MAX(0,N(F113)),0)</f>
      </c>
      <c r="O113" s="5">
        <f>IF(M113&gt;0,N113/M113,"")</f>
      </c>
    </row>
    <row r="114" spans="1:15" x14ac:dyDescent="0.25">
      <c r="A114" s="2">
        <v>46302</v>
      </c>
      <c r="B114" s="10">
        <v>0.041666666666666664</v>
      </c>
      <c r="C114" s="10">
        <v>0.0625</v>
      </c>
      <c r="D114" s="11"/>
      <c r="E114" s="11"/>
      <c r="F114" s="11"/>
      <c r="G114" s="11"/>
      <c r="H114" s="11">
        <v>30</v>
      </c>
      <c r="I114" s="3">
        <f>IF(D114="","",IFERROR(VLOOKUP(D114,Setup!$A$2:$B$60,2,FALSE),""))</f>
      </c>
      <c r="J114" s="7">
        <f>IF(I114="","",MIN(MAX(0,IF(G114="",H114,G114)),H114))</f>
      </c>
      <c r="K114" s="5">
        <f>IF(J114="","",J114/60)</f>
      </c>
      <c r="L114" s="5">
        <f>IF(J114="","",(H114-J114)/60)</f>
      </c>
      <c r="M114" s="5">
        <f>IF(I114="Y",K114,0)</f>
      </c>
      <c r="N114" s="3">
        <f>IF(I114="Y",MAX(0,N(F114)),0)</f>
      </c>
      <c r="O114" s="5">
        <f>IF(M114&gt;0,N114/M114,"")</f>
      </c>
    </row>
    <row r="115" spans="1:15" x14ac:dyDescent="0.25">
      <c r="A115" s="2">
        <v>46302</v>
      </c>
      <c r="B115" s="10">
        <v>0.0625</v>
      </c>
      <c r="C115" s="10">
        <v>0.08333333333333333</v>
      </c>
      <c r="D115" s="11"/>
      <c r="E115" s="11"/>
      <c r="F115" s="11"/>
      <c r="G115" s="11"/>
      <c r="H115" s="11">
        <v>30</v>
      </c>
      <c r="I115" s="3">
        <f>IF(D115="","",IFERROR(VLOOKUP(D115,Setup!$A$2:$B$60,2,FALSE),""))</f>
      </c>
      <c r="J115" s="7">
        <f>IF(I115="","",MIN(MAX(0,IF(G115="",H115,G115)),H115))</f>
      </c>
      <c r="K115" s="5">
        <f>IF(J115="","",J115/60)</f>
      </c>
      <c r="L115" s="5">
        <f>IF(J115="","",(H115-J115)/60)</f>
      </c>
      <c r="M115" s="5">
        <f>IF(I115="Y",K115,0)</f>
      </c>
      <c r="N115" s="3">
        <f>IF(I115="Y",MAX(0,N(F115)),0)</f>
      </c>
      <c r="O115" s="5">
        <f>IF(M115&gt;0,N115/M115,"")</f>
      </c>
    </row>
    <row r="116" spans="1:15" x14ac:dyDescent="0.25">
      <c r="A116" s="2">
        <v>46302</v>
      </c>
      <c r="B116" s="10">
        <v>0.08333333333333333</v>
      </c>
      <c r="C116" s="10">
        <v>0.10416666666666667</v>
      </c>
      <c r="D116" s="11"/>
      <c r="E116" s="11"/>
      <c r="F116" s="11"/>
      <c r="G116" s="11"/>
      <c r="H116" s="11">
        <v>30</v>
      </c>
      <c r="I116" s="3">
        <f>IF(D116="","",IFERROR(VLOOKUP(D116,Setup!$A$2:$B$60,2,FALSE),""))</f>
      </c>
      <c r="J116" s="7">
        <f>IF(I116="","",MIN(MAX(0,IF(G116="",H116,G116)),H116))</f>
      </c>
      <c r="K116" s="5">
        <f>IF(J116="","",J116/60)</f>
      </c>
      <c r="L116" s="5">
        <f>IF(J116="","",(H116-J116)/60)</f>
      </c>
      <c r="M116" s="5">
        <f>IF(I116="Y",K116,0)</f>
      </c>
      <c r="N116" s="3">
        <f>IF(I116="Y",MAX(0,N(F116)),0)</f>
      </c>
      <c r="O116" s="5">
        <f>IF(M116&gt;0,N116/M116,"")</f>
      </c>
    </row>
    <row r="117" spans="1:15" x14ac:dyDescent="0.25">
      <c r="A117" s="2">
        <v>46302</v>
      </c>
      <c r="B117" s="10">
        <v>0.10416666666666667</v>
      </c>
      <c r="C117" s="10">
        <v>0.125</v>
      </c>
      <c r="D117" s="11"/>
      <c r="E117" s="11"/>
      <c r="F117" s="11"/>
      <c r="G117" s="11"/>
      <c r="H117" s="11">
        <v>30</v>
      </c>
      <c r="I117" s="3">
        <f>IF(D117="","",IFERROR(VLOOKUP(D117,Setup!$A$2:$B$60,2,FALSE),""))</f>
      </c>
      <c r="J117" s="7">
        <f>IF(I117="","",MIN(MAX(0,IF(G117="",H117,G117)),H117))</f>
      </c>
      <c r="K117" s="5">
        <f>IF(J117="","",J117/60)</f>
      </c>
      <c r="L117" s="5">
        <f>IF(J117="","",(H117-J117)/60)</f>
      </c>
      <c r="M117" s="5">
        <f>IF(I117="Y",K117,0)</f>
      </c>
      <c r="N117" s="3">
        <f>IF(I117="Y",MAX(0,N(F117)),0)</f>
      </c>
      <c r="O117" s="5">
        <f>IF(M117&gt;0,N117/M117,"")</f>
      </c>
    </row>
    <row r="118" spans="1:15" x14ac:dyDescent="0.25">
      <c r="A118" s="2">
        <v>46302</v>
      </c>
      <c r="B118" s="10">
        <v>0.125</v>
      </c>
      <c r="C118" s="10">
        <v>0.14583333333333334</v>
      </c>
      <c r="D118" s="11"/>
      <c r="E118" s="11"/>
      <c r="F118" s="11"/>
      <c r="G118" s="11"/>
      <c r="H118" s="11">
        <v>30</v>
      </c>
      <c r="I118" s="3">
        <f>IF(D118="","",IFERROR(VLOOKUP(D118,Setup!$A$2:$B$60,2,FALSE),""))</f>
      </c>
      <c r="J118" s="7">
        <f>IF(I118="","",MIN(MAX(0,IF(G118="",H118,G118)),H118))</f>
      </c>
      <c r="K118" s="5">
        <f>IF(J118="","",J118/60)</f>
      </c>
      <c r="L118" s="5">
        <f>IF(J118="","",(H118-J118)/60)</f>
      </c>
      <c r="M118" s="5">
        <f>IF(I118="Y",K118,0)</f>
      </c>
      <c r="N118" s="3">
        <f>IF(I118="Y",MAX(0,N(F118)),0)</f>
      </c>
      <c r="O118" s="5">
        <f>IF(M118&gt;0,N118/M118,"")</f>
      </c>
    </row>
    <row r="119" spans="1:15" x14ac:dyDescent="0.25">
      <c r="A119" s="2">
        <v>46302</v>
      </c>
      <c r="B119" s="10">
        <v>0.14583333333333334</v>
      </c>
      <c r="C119" s="10">
        <v>0.16666666666666666</v>
      </c>
      <c r="D119" s="11"/>
      <c r="E119" s="11"/>
      <c r="F119" s="11"/>
      <c r="G119" s="11"/>
      <c r="H119" s="11">
        <v>30</v>
      </c>
      <c r="I119" s="3">
        <f>IF(D119="","",IFERROR(VLOOKUP(D119,Setup!$A$2:$B$60,2,FALSE),""))</f>
      </c>
      <c r="J119" s="7">
        <f>IF(I119="","",MIN(MAX(0,IF(G119="",H119,G119)),H119))</f>
      </c>
      <c r="K119" s="5">
        <f>IF(J119="","",J119/60)</f>
      </c>
      <c r="L119" s="5">
        <f>IF(J119="","",(H119-J119)/60)</f>
      </c>
      <c r="M119" s="5">
        <f>IF(I119="Y",K119,0)</f>
      </c>
      <c r="N119" s="3">
        <f>IF(I119="Y",MAX(0,N(F119)),0)</f>
      </c>
      <c r="O119" s="5">
        <f>IF(M119&gt;0,N119/M119,"")</f>
      </c>
    </row>
    <row r="120" spans="1:15" x14ac:dyDescent="0.25">
      <c r="A120" s="2">
        <v>46302</v>
      </c>
      <c r="B120" s="10">
        <v>0.16666666666666666</v>
      </c>
      <c r="C120" s="10">
        <v>0.1875</v>
      </c>
      <c r="D120" s="11"/>
      <c r="E120" s="11"/>
      <c r="F120" s="11"/>
      <c r="G120" s="11"/>
      <c r="H120" s="11">
        <v>30</v>
      </c>
      <c r="I120" s="3">
        <f>IF(D120="","",IFERROR(VLOOKUP(D120,Setup!$A$2:$B$60,2,FALSE),""))</f>
      </c>
      <c r="J120" s="7">
        <f>IF(I120="","",MIN(MAX(0,IF(G120="",H120,G120)),H120))</f>
      </c>
      <c r="K120" s="5">
        <f>IF(J120="","",J120/60)</f>
      </c>
      <c r="L120" s="5">
        <f>IF(J120="","",(H120-J120)/60)</f>
      </c>
      <c r="M120" s="5">
        <f>IF(I120="Y",K120,0)</f>
      </c>
      <c r="N120" s="3">
        <f>IF(I120="Y",MAX(0,N(F120)),0)</f>
      </c>
      <c r="O120" s="5">
        <f>IF(M120&gt;0,N120/M120,"")</f>
      </c>
    </row>
    <row r="121" spans="1:15" x14ac:dyDescent="0.25">
      <c r="A121" s="2">
        <v>46302</v>
      </c>
      <c r="B121" s="10">
        <v>0.1875</v>
      </c>
      <c r="C121" s="10">
        <v>0.20833333333333334</v>
      </c>
      <c r="D121" s="11"/>
      <c r="E121" s="11"/>
      <c r="F121" s="11"/>
      <c r="G121" s="11"/>
      <c r="H121" s="11">
        <v>30</v>
      </c>
      <c r="I121" s="3">
        <f>IF(D121="","",IFERROR(VLOOKUP(D121,Setup!$A$2:$B$60,2,FALSE),""))</f>
      </c>
      <c r="J121" s="7">
        <f>IF(I121="","",MIN(MAX(0,IF(G121="",H121,G121)),H121))</f>
      </c>
      <c r="K121" s="5">
        <f>IF(J121="","",J121/60)</f>
      </c>
      <c r="L121" s="5">
        <f>IF(J121="","",(H121-J121)/60)</f>
      </c>
      <c r="M121" s="5">
        <f>IF(I121="Y",K121,0)</f>
      </c>
      <c r="N121" s="3">
        <f>IF(I121="Y",MAX(0,N(F121)),0)</f>
      </c>
      <c r="O121" s="5">
        <f>IF(M121&gt;0,N121/M121,"")</f>
      </c>
    </row>
    <row r="122" spans="1:15" x14ac:dyDescent="0.25">
      <c r="A122" s="2">
        <v>46302</v>
      </c>
      <c r="B122" s="10">
        <v>0.20833333333333334</v>
      </c>
      <c r="C122" s="10">
        <v>0.22916666666666666</v>
      </c>
      <c r="D122" s="11"/>
      <c r="E122" s="11"/>
      <c r="F122" s="11"/>
      <c r="G122" s="11"/>
      <c r="H122" s="11">
        <v>30</v>
      </c>
      <c r="I122" s="3">
        <f>IF(D122="","",IFERROR(VLOOKUP(D122,Setup!$A$2:$B$60,2,FALSE),""))</f>
      </c>
      <c r="J122" s="7">
        <f>IF(I122="","",MIN(MAX(0,IF(G122="",H122,G122)),H122))</f>
      </c>
      <c r="K122" s="5">
        <f>IF(J122="","",J122/60)</f>
      </c>
      <c r="L122" s="5">
        <f>IF(J122="","",(H122-J122)/60)</f>
      </c>
      <c r="M122" s="5">
        <f>IF(I122="Y",K122,0)</f>
      </c>
      <c r="N122" s="3">
        <f>IF(I122="Y",MAX(0,N(F122)),0)</f>
      </c>
      <c r="O122" s="5">
        <f>IF(M122&gt;0,N122/M122,"")</f>
      </c>
    </row>
    <row r="123" spans="1:15" x14ac:dyDescent="0.25">
      <c r="A123" s="2">
        <v>46302</v>
      </c>
      <c r="B123" s="10">
        <v>0.22916666666666666</v>
      </c>
      <c r="C123" s="10">
        <v>0.25</v>
      </c>
      <c r="D123" s="11"/>
      <c r="E123" s="11"/>
      <c r="F123" s="11"/>
      <c r="G123" s="11"/>
      <c r="H123" s="11">
        <v>30</v>
      </c>
      <c r="I123" s="3">
        <f>IF(D123="","",IFERROR(VLOOKUP(D123,Setup!$A$2:$B$60,2,FALSE),""))</f>
      </c>
      <c r="J123" s="7">
        <f>IF(I123="","",MIN(MAX(0,IF(G123="",H123,G123)),H123))</f>
      </c>
      <c r="K123" s="5">
        <f>IF(J123="","",J123/60)</f>
      </c>
      <c r="L123" s="5">
        <f>IF(J123="","",(H123-J123)/60)</f>
      </c>
      <c r="M123" s="5">
        <f>IF(I123="Y",K123,0)</f>
      </c>
      <c r="N123" s="3">
        <f>IF(I123="Y",MAX(0,N(F123)),0)</f>
      </c>
      <c r="O123" s="5">
        <f>IF(M123&gt;0,N123/M123,"")</f>
      </c>
    </row>
    <row r="124" spans="1:15" x14ac:dyDescent="0.25">
      <c r="A124" s="2">
        <v>46302</v>
      </c>
      <c r="B124" s="10">
        <v>0.25</v>
      </c>
      <c r="C124" s="10">
        <v>0.2708333333333333</v>
      </c>
      <c r="D124" s="11"/>
      <c r="E124" s="11"/>
      <c r="F124" s="11"/>
      <c r="G124" s="11"/>
      <c r="H124" s="11">
        <v>30</v>
      </c>
      <c r="I124" s="3">
        <f>IF(D124="","",IFERROR(VLOOKUP(D124,Setup!$A$2:$B$60,2,FALSE),""))</f>
      </c>
      <c r="J124" s="7">
        <f>IF(I124="","",MIN(MAX(0,IF(G124="",H124,G124)),H124))</f>
      </c>
      <c r="K124" s="5">
        <f>IF(J124="","",J124/60)</f>
      </c>
      <c r="L124" s="5">
        <f>IF(J124="","",(H124-J124)/60)</f>
      </c>
      <c r="M124" s="5">
        <f>IF(I124="Y",K124,0)</f>
      </c>
      <c r="N124" s="3">
        <f>IF(I124="Y",MAX(0,N(F124)),0)</f>
      </c>
      <c r="O124" s="5">
        <f>IF(M124&gt;0,N124/M124,"")</f>
      </c>
    </row>
    <row r="125" spans="1:15" x14ac:dyDescent="0.25">
      <c r="A125" s="2">
        <v>46302</v>
      </c>
      <c r="B125" s="10">
        <v>0.2708333333333333</v>
      </c>
      <c r="C125" s="10">
        <v>0.2916666666666667</v>
      </c>
      <c r="D125" s="11"/>
      <c r="E125" s="11"/>
      <c r="F125" s="11"/>
      <c r="G125" s="11"/>
      <c r="H125" s="11">
        <v>30</v>
      </c>
      <c r="I125" s="3">
        <f>IF(D125="","",IFERROR(VLOOKUP(D125,Setup!$A$2:$B$60,2,FALSE),""))</f>
      </c>
      <c r="J125" s="7">
        <f>IF(I125="","",MIN(MAX(0,IF(G125="",H125,G125)),H125))</f>
      </c>
      <c r="K125" s="5">
        <f>IF(J125="","",J125/60)</f>
      </c>
      <c r="L125" s="5">
        <f>IF(J125="","",(H125-J125)/60)</f>
      </c>
      <c r="M125" s="5">
        <f>IF(I125="Y",K125,0)</f>
      </c>
      <c r="N125" s="3">
        <f>IF(I125="Y",MAX(0,N(F125)),0)</f>
      </c>
      <c r="O125" s="5">
        <f>IF(M125&gt;0,N125/M125,"")</f>
      </c>
    </row>
    <row r="126" spans="1:15" x14ac:dyDescent="0.25">
      <c r="A126" s="2">
        <v>46302</v>
      </c>
      <c r="B126" s="10">
        <v>0.2916666666666667</v>
      </c>
      <c r="C126" s="10">
        <v>0.3125</v>
      </c>
      <c r="D126" s="11"/>
      <c r="E126" s="11"/>
      <c r="F126" s="11"/>
      <c r="G126" s="11"/>
      <c r="H126" s="11">
        <v>30</v>
      </c>
      <c r="I126" s="3">
        <f>IF(D126="","",IFERROR(VLOOKUP(D126,Setup!$A$2:$B$60,2,FALSE),""))</f>
      </c>
      <c r="J126" s="7">
        <f>IF(I126="","",MIN(MAX(0,IF(G126="",H126,G126)),H126))</f>
      </c>
      <c r="K126" s="5">
        <f>IF(J126="","",J126/60)</f>
      </c>
      <c r="L126" s="5">
        <f>IF(J126="","",(H126-J126)/60)</f>
      </c>
      <c r="M126" s="5">
        <f>IF(I126="Y",K126,0)</f>
      </c>
      <c r="N126" s="3">
        <f>IF(I126="Y",MAX(0,N(F126)),0)</f>
      </c>
      <c r="O126" s="5">
        <f>IF(M126&gt;0,N126/M126,"")</f>
      </c>
    </row>
    <row r="127" spans="1:15" x14ac:dyDescent="0.25">
      <c r="A127" s="2">
        <v>46302</v>
      </c>
      <c r="B127" s="10">
        <v>0.3125</v>
      </c>
      <c r="C127" s="10">
        <v>0.3333333333333333</v>
      </c>
      <c r="D127" s="11"/>
      <c r="E127" s="11"/>
      <c r="F127" s="11"/>
      <c r="G127" s="11"/>
      <c r="H127" s="11">
        <v>30</v>
      </c>
      <c r="I127" s="3">
        <f>IF(D127="","",IFERROR(VLOOKUP(D127,Setup!$A$2:$B$60,2,FALSE),""))</f>
      </c>
      <c r="J127" s="7">
        <f>IF(I127="","",MIN(MAX(0,IF(G127="",H127,G127)),H127))</f>
      </c>
      <c r="K127" s="5">
        <f>IF(J127="","",J127/60)</f>
      </c>
      <c r="L127" s="5">
        <f>IF(J127="","",(H127-J127)/60)</f>
      </c>
      <c r="M127" s="5">
        <f>IF(I127="Y",K127,0)</f>
      </c>
      <c r="N127" s="3">
        <f>IF(I127="Y",MAX(0,N(F127)),0)</f>
      </c>
      <c r="O127" s="5">
        <f>IF(M127&gt;0,N127/M127,"")</f>
      </c>
    </row>
    <row r="128" spans="1:15" x14ac:dyDescent="0.25">
      <c r="A128" s="2">
        <v>46303</v>
      </c>
      <c r="B128" s="10">
        <v>0.9583333333333334</v>
      </c>
      <c r="C128" s="10">
        <v>0.9791666666666666</v>
      </c>
      <c r="D128" s="11"/>
      <c r="E128" s="11"/>
      <c r="F128" s="11"/>
      <c r="G128" s="11"/>
      <c r="H128" s="11">
        <v>30</v>
      </c>
      <c r="I128" s="3">
        <f>IF(D128="","",IFERROR(VLOOKUP(D128,Setup!$A$2:$B$60,2,FALSE),""))</f>
      </c>
      <c r="J128" s="7">
        <f>IF(I128="","",MIN(MAX(0,IF(G128="",H128,G128)),H128))</f>
      </c>
      <c r="K128" s="5">
        <f>IF(J128="","",J128/60)</f>
      </c>
      <c r="L128" s="5">
        <f>IF(J128="","",(H128-J128)/60)</f>
      </c>
      <c r="M128" s="5">
        <f>IF(I128="Y",K128,0)</f>
      </c>
      <c r="N128" s="3">
        <f>IF(I128="Y",MAX(0,N(F128)),0)</f>
      </c>
      <c r="O128" s="5">
        <f>IF(M128&gt;0,N128/M128,"")</f>
      </c>
    </row>
    <row r="129" spans="1:15" x14ac:dyDescent="0.25">
      <c r="A129" s="2">
        <v>46303</v>
      </c>
      <c r="B129" s="10">
        <v>0.9791666666666666</v>
      </c>
      <c r="C129" s="10">
        <v>0</v>
      </c>
      <c r="D129" s="11"/>
      <c r="E129" s="11"/>
      <c r="F129" s="11"/>
      <c r="G129" s="11"/>
      <c r="H129" s="11">
        <v>30</v>
      </c>
      <c r="I129" s="3">
        <f>IF(D129="","",IFERROR(VLOOKUP(D129,Setup!$A$2:$B$60,2,FALSE),""))</f>
      </c>
      <c r="J129" s="7">
        <f>IF(I129="","",MIN(MAX(0,IF(G129="",H129,G129)),H129))</f>
      </c>
      <c r="K129" s="5">
        <f>IF(J129="","",J129/60)</f>
      </c>
      <c r="L129" s="5">
        <f>IF(J129="","",(H129-J129)/60)</f>
      </c>
      <c r="M129" s="5">
        <f>IF(I129="Y",K129,0)</f>
      </c>
      <c r="N129" s="3">
        <f>IF(I129="Y",MAX(0,N(F129)),0)</f>
      </c>
      <c r="O129" s="5">
        <f>IF(M129&gt;0,N129/M129,"")</f>
      </c>
    </row>
    <row r="130" spans="1:15" x14ac:dyDescent="0.25">
      <c r="A130" s="2">
        <v>46303</v>
      </c>
      <c r="B130" s="10">
        <v>0</v>
      </c>
      <c r="C130" s="10">
        <v>0.020833333333333332</v>
      </c>
      <c r="D130" s="11"/>
      <c r="E130" s="11"/>
      <c r="F130" s="11"/>
      <c r="G130" s="11"/>
      <c r="H130" s="11">
        <v>30</v>
      </c>
      <c r="I130" s="3">
        <f>IF(D130="","",IFERROR(VLOOKUP(D130,Setup!$A$2:$B$60,2,FALSE),""))</f>
      </c>
      <c r="J130" s="7">
        <f>IF(I130="","",MIN(MAX(0,IF(G130="",H130,G130)),H130))</f>
      </c>
      <c r="K130" s="5">
        <f>IF(J130="","",J130/60)</f>
      </c>
      <c r="L130" s="5">
        <f>IF(J130="","",(H130-J130)/60)</f>
      </c>
      <c r="M130" s="5">
        <f>IF(I130="Y",K130,0)</f>
      </c>
      <c r="N130" s="3">
        <f>IF(I130="Y",MAX(0,N(F130)),0)</f>
      </c>
      <c r="O130" s="5">
        <f>IF(M130&gt;0,N130/M130,"")</f>
      </c>
    </row>
    <row r="131" spans="1:15" x14ac:dyDescent="0.25">
      <c r="A131" s="2">
        <v>46303</v>
      </c>
      <c r="B131" s="10">
        <v>0.020833333333333332</v>
      </c>
      <c r="C131" s="10">
        <v>0.041666666666666664</v>
      </c>
      <c r="D131" s="11"/>
      <c r="E131" s="11"/>
      <c r="F131" s="11"/>
      <c r="G131" s="11"/>
      <c r="H131" s="11">
        <v>30</v>
      </c>
      <c r="I131" s="3">
        <f>IF(D131="","",IFERROR(VLOOKUP(D131,Setup!$A$2:$B$60,2,FALSE),""))</f>
      </c>
      <c r="J131" s="7">
        <f>IF(I131="","",MIN(MAX(0,IF(G131="",H131,G131)),H131))</f>
      </c>
      <c r="K131" s="5">
        <f>IF(J131="","",J131/60)</f>
      </c>
      <c r="L131" s="5">
        <f>IF(J131="","",(H131-J131)/60)</f>
      </c>
      <c r="M131" s="5">
        <f>IF(I131="Y",K131,0)</f>
      </c>
      <c r="N131" s="3">
        <f>IF(I131="Y",MAX(0,N(F131)),0)</f>
      </c>
      <c r="O131" s="5">
        <f>IF(M131&gt;0,N131/M131,"")</f>
      </c>
    </row>
    <row r="132" spans="1:15" x14ac:dyDescent="0.25">
      <c r="A132" s="2">
        <v>46303</v>
      </c>
      <c r="B132" s="10">
        <v>0.041666666666666664</v>
      </c>
      <c r="C132" s="10">
        <v>0.0625</v>
      </c>
      <c r="D132" s="11"/>
      <c r="E132" s="11"/>
      <c r="F132" s="11"/>
      <c r="G132" s="11"/>
      <c r="H132" s="11">
        <v>30</v>
      </c>
      <c r="I132" s="3">
        <f>IF(D132="","",IFERROR(VLOOKUP(D132,Setup!$A$2:$B$60,2,FALSE),""))</f>
      </c>
      <c r="J132" s="7">
        <f>IF(I132="","",MIN(MAX(0,IF(G132="",H132,G132)),H132))</f>
      </c>
      <c r="K132" s="5">
        <f>IF(J132="","",J132/60)</f>
      </c>
      <c r="L132" s="5">
        <f>IF(J132="","",(H132-J132)/60)</f>
      </c>
      <c r="M132" s="5">
        <f>IF(I132="Y",K132,0)</f>
      </c>
      <c r="N132" s="3">
        <f>IF(I132="Y",MAX(0,N(F132)),0)</f>
      </c>
      <c r="O132" s="5">
        <f>IF(M132&gt;0,N132/M132,"")</f>
      </c>
    </row>
    <row r="133" spans="1:15" x14ac:dyDescent="0.25">
      <c r="A133" s="2">
        <v>46303</v>
      </c>
      <c r="B133" s="10">
        <v>0.0625</v>
      </c>
      <c r="C133" s="10">
        <v>0.08333333333333333</v>
      </c>
      <c r="D133" s="11"/>
      <c r="E133" s="11"/>
      <c r="F133" s="11"/>
      <c r="G133" s="11"/>
      <c r="H133" s="11">
        <v>30</v>
      </c>
      <c r="I133" s="3">
        <f>IF(D133="","",IFERROR(VLOOKUP(D133,Setup!$A$2:$B$60,2,FALSE),""))</f>
      </c>
      <c r="J133" s="7">
        <f>IF(I133="","",MIN(MAX(0,IF(G133="",H133,G133)),H133))</f>
      </c>
      <c r="K133" s="5">
        <f>IF(J133="","",J133/60)</f>
      </c>
      <c r="L133" s="5">
        <f>IF(J133="","",(H133-J133)/60)</f>
      </c>
      <c r="M133" s="5">
        <f>IF(I133="Y",K133,0)</f>
      </c>
      <c r="N133" s="3">
        <f>IF(I133="Y",MAX(0,N(F133)),0)</f>
      </c>
      <c r="O133" s="5">
        <f>IF(M133&gt;0,N133/M133,"")</f>
      </c>
    </row>
    <row r="134" spans="1:15" x14ac:dyDescent="0.25">
      <c r="A134" s="2">
        <v>46303</v>
      </c>
      <c r="B134" s="10">
        <v>0.08333333333333333</v>
      </c>
      <c r="C134" s="10">
        <v>0.10416666666666667</v>
      </c>
      <c r="D134" s="11"/>
      <c r="E134" s="11"/>
      <c r="F134" s="11"/>
      <c r="G134" s="11"/>
      <c r="H134" s="11">
        <v>30</v>
      </c>
      <c r="I134" s="3">
        <f>IF(D134="","",IFERROR(VLOOKUP(D134,Setup!$A$2:$B$60,2,FALSE),""))</f>
      </c>
      <c r="J134" s="7">
        <f>IF(I134="","",MIN(MAX(0,IF(G134="",H134,G134)),H134))</f>
      </c>
      <c r="K134" s="5">
        <f>IF(J134="","",J134/60)</f>
      </c>
      <c r="L134" s="5">
        <f>IF(J134="","",(H134-J134)/60)</f>
      </c>
      <c r="M134" s="5">
        <f>IF(I134="Y",K134,0)</f>
      </c>
      <c r="N134" s="3">
        <f>IF(I134="Y",MAX(0,N(F134)),0)</f>
      </c>
      <c r="O134" s="5">
        <f>IF(M134&gt;0,N134/M134,"")</f>
      </c>
    </row>
    <row r="135" spans="1:15" x14ac:dyDescent="0.25">
      <c r="A135" s="2">
        <v>46303</v>
      </c>
      <c r="B135" s="10">
        <v>0.10416666666666667</v>
      </c>
      <c r="C135" s="10">
        <v>0.125</v>
      </c>
      <c r="D135" s="11"/>
      <c r="E135" s="11"/>
      <c r="F135" s="11"/>
      <c r="G135" s="11"/>
      <c r="H135" s="11">
        <v>30</v>
      </c>
      <c r="I135" s="3">
        <f>IF(D135="","",IFERROR(VLOOKUP(D135,Setup!$A$2:$B$60,2,FALSE),""))</f>
      </c>
      <c r="J135" s="7">
        <f>IF(I135="","",MIN(MAX(0,IF(G135="",H135,G135)),H135))</f>
      </c>
      <c r="K135" s="5">
        <f>IF(J135="","",J135/60)</f>
      </c>
      <c r="L135" s="5">
        <f>IF(J135="","",(H135-J135)/60)</f>
      </c>
      <c r="M135" s="5">
        <f>IF(I135="Y",K135,0)</f>
      </c>
      <c r="N135" s="3">
        <f>IF(I135="Y",MAX(0,N(F135)),0)</f>
      </c>
      <c r="O135" s="5">
        <f>IF(M135&gt;0,N135/M135,"")</f>
      </c>
    </row>
    <row r="136" spans="1:15" x14ac:dyDescent="0.25">
      <c r="A136" s="2">
        <v>46303</v>
      </c>
      <c r="B136" s="10">
        <v>0.125</v>
      </c>
      <c r="C136" s="10">
        <v>0.14583333333333334</v>
      </c>
      <c r="D136" s="11"/>
      <c r="E136" s="11"/>
      <c r="F136" s="11"/>
      <c r="G136" s="11"/>
      <c r="H136" s="11">
        <v>30</v>
      </c>
      <c r="I136" s="3">
        <f>IF(D136="","",IFERROR(VLOOKUP(D136,Setup!$A$2:$B$60,2,FALSE),""))</f>
      </c>
      <c r="J136" s="7">
        <f>IF(I136="","",MIN(MAX(0,IF(G136="",H136,G136)),H136))</f>
      </c>
      <c r="K136" s="5">
        <f>IF(J136="","",J136/60)</f>
      </c>
      <c r="L136" s="5">
        <f>IF(J136="","",(H136-J136)/60)</f>
      </c>
      <c r="M136" s="5">
        <f>IF(I136="Y",K136,0)</f>
      </c>
      <c r="N136" s="3">
        <f>IF(I136="Y",MAX(0,N(F136)),0)</f>
      </c>
      <c r="O136" s="5">
        <f>IF(M136&gt;0,N136/M136,"")</f>
      </c>
    </row>
    <row r="137" spans="1:15" x14ac:dyDescent="0.25">
      <c r="A137" s="2">
        <v>46303</v>
      </c>
      <c r="B137" s="10">
        <v>0.14583333333333334</v>
      </c>
      <c r="C137" s="10">
        <v>0.16666666666666666</v>
      </c>
      <c r="D137" s="11"/>
      <c r="E137" s="11"/>
      <c r="F137" s="11"/>
      <c r="G137" s="11"/>
      <c r="H137" s="11">
        <v>30</v>
      </c>
      <c r="I137" s="3">
        <f>IF(D137="","",IFERROR(VLOOKUP(D137,Setup!$A$2:$B$60,2,FALSE),""))</f>
      </c>
      <c r="J137" s="7">
        <f>IF(I137="","",MIN(MAX(0,IF(G137="",H137,G137)),H137))</f>
      </c>
      <c r="K137" s="5">
        <f>IF(J137="","",J137/60)</f>
      </c>
      <c r="L137" s="5">
        <f>IF(J137="","",(H137-J137)/60)</f>
      </c>
      <c r="M137" s="5">
        <f>IF(I137="Y",K137,0)</f>
      </c>
      <c r="N137" s="3">
        <f>IF(I137="Y",MAX(0,N(F137)),0)</f>
      </c>
      <c r="O137" s="5">
        <f>IF(M137&gt;0,N137/M137,"")</f>
      </c>
    </row>
    <row r="138" spans="1:15" x14ac:dyDescent="0.25">
      <c r="A138" s="2">
        <v>46303</v>
      </c>
      <c r="B138" s="10">
        <v>0.16666666666666666</v>
      </c>
      <c r="C138" s="10">
        <v>0.1875</v>
      </c>
      <c r="D138" s="11"/>
      <c r="E138" s="11"/>
      <c r="F138" s="11"/>
      <c r="G138" s="11"/>
      <c r="H138" s="11">
        <v>30</v>
      </c>
      <c r="I138" s="3">
        <f>IF(D138="","",IFERROR(VLOOKUP(D138,Setup!$A$2:$B$60,2,FALSE),""))</f>
      </c>
      <c r="J138" s="7">
        <f>IF(I138="","",MIN(MAX(0,IF(G138="",H138,G138)),H138))</f>
      </c>
      <c r="K138" s="5">
        <f>IF(J138="","",J138/60)</f>
      </c>
      <c r="L138" s="5">
        <f>IF(J138="","",(H138-J138)/60)</f>
      </c>
      <c r="M138" s="5">
        <f>IF(I138="Y",K138,0)</f>
      </c>
      <c r="N138" s="3">
        <f>IF(I138="Y",MAX(0,N(F138)),0)</f>
      </c>
      <c r="O138" s="5">
        <f>IF(M138&gt;0,N138/M138,"")</f>
      </c>
    </row>
    <row r="139" spans="1:15" x14ac:dyDescent="0.25">
      <c r="A139" s="2">
        <v>46303</v>
      </c>
      <c r="B139" s="10">
        <v>0.1875</v>
      </c>
      <c r="C139" s="10">
        <v>0.20833333333333334</v>
      </c>
      <c r="D139" s="11"/>
      <c r="E139" s="11"/>
      <c r="F139" s="11"/>
      <c r="G139" s="11"/>
      <c r="H139" s="11">
        <v>30</v>
      </c>
      <c r="I139" s="3">
        <f>IF(D139="","",IFERROR(VLOOKUP(D139,Setup!$A$2:$B$60,2,FALSE),""))</f>
      </c>
      <c r="J139" s="7">
        <f>IF(I139="","",MIN(MAX(0,IF(G139="",H139,G139)),H139))</f>
      </c>
      <c r="K139" s="5">
        <f>IF(J139="","",J139/60)</f>
      </c>
      <c r="L139" s="5">
        <f>IF(J139="","",(H139-J139)/60)</f>
      </c>
      <c r="M139" s="5">
        <f>IF(I139="Y",K139,0)</f>
      </c>
      <c r="N139" s="3">
        <f>IF(I139="Y",MAX(0,N(F139)),0)</f>
      </c>
      <c r="O139" s="5">
        <f>IF(M139&gt;0,N139/M139,"")</f>
      </c>
    </row>
    <row r="140" spans="1:15" x14ac:dyDescent="0.25">
      <c r="A140" s="2">
        <v>46303</v>
      </c>
      <c r="B140" s="10">
        <v>0.20833333333333334</v>
      </c>
      <c r="C140" s="10">
        <v>0.22916666666666666</v>
      </c>
      <c r="D140" s="11"/>
      <c r="E140" s="11"/>
      <c r="F140" s="11"/>
      <c r="G140" s="11"/>
      <c r="H140" s="11">
        <v>30</v>
      </c>
      <c r="I140" s="3">
        <f>IF(D140="","",IFERROR(VLOOKUP(D140,Setup!$A$2:$B$60,2,FALSE),""))</f>
      </c>
      <c r="J140" s="7">
        <f>IF(I140="","",MIN(MAX(0,IF(G140="",H140,G140)),H140))</f>
      </c>
      <c r="K140" s="5">
        <f>IF(J140="","",J140/60)</f>
      </c>
      <c r="L140" s="5">
        <f>IF(J140="","",(H140-J140)/60)</f>
      </c>
      <c r="M140" s="5">
        <f>IF(I140="Y",K140,0)</f>
      </c>
      <c r="N140" s="3">
        <f>IF(I140="Y",MAX(0,N(F140)),0)</f>
      </c>
      <c r="O140" s="5">
        <f>IF(M140&gt;0,N140/M140,"")</f>
      </c>
    </row>
    <row r="141" spans="1:15" x14ac:dyDescent="0.25">
      <c r="A141" s="2">
        <v>46303</v>
      </c>
      <c r="B141" s="10">
        <v>0.22916666666666666</v>
      </c>
      <c r="C141" s="10">
        <v>0.25</v>
      </c>
      <c r="D141" s="11"/>
      <c r="E141" s="11"/>
      <c r="F141" s="11"/>
      <c r="G141" s="11"/>
      <c r="H141" s="11">
        <v>30</v>
      </c>
      <c r="I141" s="3">
        <f>IF(D141="","",IFERROR(VLOOKUP(D141,Setup!$A$2:$B$60,2,FALSE),""))</f>
      </c>
      <c r="J141" s="7">
        <f>IF(I141="","",MIN(MAX(0,IF(G141="",H141,G141)),H141))</f>
      </c>
      <c r="K141" s="5">
        <f>IF(J141="","",J141/60)</f>
      </c>
      <c r="L141" s="5">
        <f>IF(J141="","",(H141-J141)/60)</f>
      </c>
      <c r="M141" s="5">
        <f>IF(I141="Y",K141,0)</f>
      </c>
      <c r="N141" s="3">
        <f>IF(I141="Y",MAX(0,N(F141)),0)</f>
      </c>
      <c r="O141" s="5">
        <f>IF(M141&gt;0,N141/M141,"")</f>
      </c>
    </row>
    <row r="142" spans="1:15" x14ac:dyDescent="0.25">
      <c r="A142" s="2">
        <v>46303</v>
      </c>
      <c r="B142" s="10">
        <v>0.25</v>
      </c>
      <c r="C142" s="10">
        <v>0.2708333333333333</v>
      </c>
      <c r="D142" s="11"/>
      <c r="E142" s="11"/>
      <c r="F142" s="11"/>
      <c r="G142" s="11"/>
      <c r="H142" s="11">
        <v>30</v>
      </c>
      <c r="I142" s="3">
        <f>IF(D142="","",IFERROR(VLOOKUP(D142,Setup!$A$2:$B$60,2,FALSE),""))</f>
      </c>
      <c r="J142" s="7">
        <f>IF(I142="","",MIN(MAX(0,IF(G142="",H142,G142)),H142))</f>
      </c>
      <c r="K142" s="5">
        <f>IF(J142="","",J142/60)</f>
      </c>
      <c r="L142" s="5">
        <f>IF(J142="","",(H142-J142)/60)</f>
      </c>
      <c r="M142" s="5">
        <f>IF(I142="Y",K142,0)</f>
      </c>
      <c r="N142" s="3">
        <f>IF(I142="Y",MAX(0,N(F142)),0)</f>
      </c>
      <c r="O142" s="5">
        <f>IF(M142&gt;0,N142/M142,"")</f>
      </c>
    </row>
    <row r="143" spans="1:15" x14ac:dyDescent="0.25">
      <c r="A143" s="2">
        <v>46303</v>
      </c>
      <c r="B143" s="10">
        <v>0.2708333333333333</v>
      </c>
      <c r="C143" s="10">
        <v>0.2916666666666667</v>
      </c>
      <c r="D143" s="11"/>
      <c r="E143" s="11"/>
      <c r="F143" s="11"/>
      <c r="G143" s="11"/>
      <c r="H143" s="11">
        <v>30</v>
      </c>
      <c r="I143" s="3">
        <f>IF(D143="","",IFERROR(VLOOKUP(D143,Setup!$A$2:$B$60,2,FALSE),""))</f>
      </c>
      <c r="J143" s="7">
        <f>IF(I143="","",MIN(MAX(0,IF(G143="",H143,G143)),H143))</f>
      </c>
      <c r="K143" s="5">
        <f>IF(J143="","",J143/60)</f>
      </c>
      <c r="L143" s="5">
        <f>IF(J143="","",(H143-J143)/60)</f>
      </c>
      <c r="M143" s="5">
        <f>IF(I143="Y",K143,0)</f>
      </c>
      <c r="N143" s="3">
        <f>IF(I143="Y",MAX(0,N(F143)),0)</f>
      </c>
      <c r="O143" s="5">
        <f>IF(M143&gt;0,N143/M143,"")</f>
      </c>
    </row>
    <row r="144" spans="1:15" x14ac:dyDescent="0.25">
      <c r="A144" s="2">
        <v>46303</v>
      </c>
      <c r="B144" s="10">
        <v>0.2916666666666667</v>
      </c>
      <c r="C144" s="10">
        <v>0.3125</v>
      </c>
      <c r="D144" s="11"/>
      <c r="E144" s="11"/>
      <c r="F144" s="11"/>
      <c r="G144" s="11"/>
      <c r="H144" s="11">
        <v>30</v>
      </c>
      <c r="I144" s="3">
        <f>IF(D144="","",IFERROR(VLOOKUP(D144,Setup!$A$2:$B$60,2,FALSE),""))</f>
      </c>
      <c r="J144" s="7">
        <f>IF(I144="","",MIN(MAX(0,IF(G144="",H144,G144)),H144))</f>
      </c>
      <c r="K144" s="5">
        <f>IF(J144="","",J144/60)</f>
      </c>
      <c r="L144" s="5">
        <f>IF(J144="","",(H144-J144)/60)</f>
      </c>
      <c r="M144" s="5">
        <f>IF(I144="Y",K144,0)</f>
      </c>
      <c r="N144" s="3">
        <f>IF(I144="Y",MAX(0,N(F144)),0)</f>
      </c>
      <c r="O144" s="5">
        <f>IF(M144&gt;0,N144/M144,"")</f>
      </c>
    </row>
    <row r="145" spans="1:15" x14ac:dyDescent="0.25">
      <c r="A145" s="2">
        <v>46303</v>
      </c>
      <c r="B145" s="10">
        <v>0.3125</v>
      </c>
      <c r="C145" s="10">
        <v>0.3333333333333333</v>
      </c>
      <c r="D145" s="11"/>
      <c r="E145" s="11"/>
      <c r="F145" s="11"/>
      <c r="G145" s="11"/>
      <c r="H145" s="11">
        <v>30</v>
      </c>
      <c r="I145" s="3">
        <f>IF(D145="","",IFERROR(VLOOKUP(D145,Setup!$A$2:$B$60,2,FALSE),""))</f>
      </c>
      <c r="J145" s="7">
        <f>IF(I145="","",MIN(MAX(0,IF(G145="",H145,G145)),H145))</f>
      </c>
      <c r="K145" s="5">
        <f>IF(J145="","",J145/60)</f>
      </c>
      <c r="L145" s="5">
        <f>IF(J145="","",(H145-J145)/60)</f>
      </c>
      <c r="M145" s="5">
        <f>IF(I145="Y",K145,0)</f>
      </c>
      <c r="N145" s="3">
        <f>IF(I145="Y",MAX(0,N(F145)),0)</f>
      </c>
      <c r="O145" s="5">
        <f>IF(M145&gt;0,N145/M145,"")</f>
      </c>
    </row>
    <row r="146" spans="1:15" x14ac:dyDescent="0.25">
      <c r="A146" s="2">
        <v>46304</v>
      </c>
      <c r="B146" s="10">
        <v>0.9583333333333334</v>
      </c>
      <c r="C146" s="10">
        <v>0.9791666666666666</v>
      </c>
      <c r="D146" s="11"/>
      <c r="E146" s="11"/>
      <c r="F146" s="11"/>
      <c r="G146" s="11"/>
      <c r="H146" s="11">
        <v>30</v>
      </c>
      <c r="I146" s="3">
        <f>IF(D146="","",IFERROR(VLOOKUP(D146,Setup!$A$2:$B$60,2,FALSE),""))</f>
      </c>
      <c r="J146" s="7">
        <f>IF(I146="","",MIN(MAX(0,IF(G146="",H146,G146)),H146))</f>
      </c>
      <c r="K146" s="5">
        <f>IF(J146="","",J146/60)</f>
      </c>
      <c r="L146" s="5">
        <f>IF(J146="","",(H146-J146)/60)</f>
      </c>
      <c r="M146" s="5">
        <f>IF(I146="Y",K146,0)</f>
      </c>
      <c r="N146" s="3">
        <f>IF(I146="Y",MAX(0,N(F146)),0)</f>
      </c>
      <c r="O146" s="5">
        <f>IF(M146&gt;0,N146/M146,"")</f>
      </c>
    </row>
    <row r="147" spans="1:15" x14ac:dyDescent="0.25">
      <c r="A147" s="2">
        <v>46304</v>
      </c>
      <c r="B147" s="10">
        <v>0.9791666666666666</v>
      </c>
      <c r="C147" s="10">
        <v>0</v>
      </c>
      <c r="D147" s="11"/>
      <c r="E147" s="11"/>
      <c r="F147" s="11"/>
      <c r="G147" s="11"/>
      <c r="H147" s="11">
        <v>30</v>
      </c>
      <c r="I147" s="3">
        <f>IF(D147="","",IFERROR(VLOOKUP(D147,Setup!$A$2:$B$60,2,FALSE),""))</f>
      </c>
      <c r="J147" s="7">
        <f>IF(I147="","",MIN(MAX(0,IF(G147="",H147,G147)),H147))</f>
      </c>
      <c r="K147" s="5">
        <f>IF(J147="","",J147/60)</f>
      </c>
      <c r="L147" s="5">
        <f>IF(J147="","",(H147-J147)/60)</f>
      </c>
      <c r="M147" s="5">
        <f>IF(I147="Y",K147,0)</f>
      </c>
      <c r="N147" s="3">
        <f>IF(I147="Y",MAX(0,N(F147)),0)</f>
      </c>
      <c r="O147" s="5">
        <f>IF(M147&gt;0,N147/M147,"")</f>
      </c>
    </row>
    <row r="148" spans="1:15" x14ac:dyDescent="0.25">
      <c r="A148" s="2">
        <v>46304</v>
      </c>
      <c r="B148" s="10">
        <v>0</v>
      </c>
      <c r="C148" s="10">
        <v>0.020833333333333332</v>
      </c>
      <c r="D148" s="11"/>
      <c r="E148" s="11"/>
      <c r="F148" s="11"/>
      <c r="G148" s="11"/>
      <c r="H148" s="11">
        <v>30</v>
      </c>
      <c r="I148" s="3">
        <f>IF(D148="","",IFERROR(VLOOKUP(D148,Setup!$A$2:$B$60,2,FALSE),""))</f>
      </c>
      <c r="J148" s="7">
        <f>IF(I148="","",MIN(MAX(0,IF(G148="",H148,G148)),H148))</f>
      </c>
      <c r="K148" s="5">
        <f>IF(J148="","",J148/60)</f>
      </c>
      <c r="L148" s="5">
        <f>IF(J148="","",(H148-J148)/60)</f>
      </c>
      <c r="M148" s="5">
        <f>IF(I148="Y",K148,0)</f>
      </c>
      <c r="N148" s="3">
        <f>IF(I148="Y",MAX(0,N(F148)),0)</f>
      </c>
      <c r="O148" s="5">
        <f>IF(M148&gt;0,N148/M148,"")</f>
      </c>
    </row>
    <row r="149" spans="1:15" x14ac:dyDescent="0.25">
      <c r="A149" s="2">
        <v>46304</v>
      </c>
      <c r="B149" s="10">
        <v>0.020833333333333332</v>
      </c>
      <c r="C149" s="10">
        <v>0.041666666666666664</v>
      </c>
      <c r="D149" s="11"/>
      <c r="E149" s="11"/>
      <c r="F149" s="11"/>
      <c r="G149" s="11"/>
      <c r="H149" s="11">
        <v>30</v>
      </c>
      <c r="I149" s="3">
        <f>IF(D149="","",IFERROR(VLOOKUP(D149,Setup!$A$2:$B$60,2,FALSE),""))</f>
      </c>
      <c r="J149" s="7">
        <f>IF(I149="","",MIN(MAX(0,IF(G149="",H149,G149)),H149))</f>
      </c>
      <c r="K149" s="5">
        <f>IF(J149="","",J149/60)</f>
      </c>
      <c r="L149" s="5">
        <f>IF(J149="","",(H149-J149)/60)</f>
      </c>
      <c r="M149" s="5">
        <f>IF(I149="Y",K149,0)</f>
      </c>
      <c r="N149" s="3">
        <f>IF(I149="Y",MAX(0,N(F149)),0)</f>
      </c>
      <c r="O149" s="5">
        <f>IF(M149&gt;0,N149/M149,"")</f>
      </c>
    </row>
    <row r="150" spans="1:15" x14ac:dyDescent="0.25">
      <c r="A150" s="2">
        <v>46304</v>
      </c>
      <c r="B150" s="10">
        <v>0.041666666666666664</v>
      </c>
      <c r="C150" s="10">
        <v>0.0625</v>
      </c>
      <c r="D150" s="11"/>
      <c r="E150" s="11"/>
      <c r="F150" s="11"/>
      <c r="G150" s="11"/>
      <c r="H150" s="11">
        <v>30</v>
      </c>
      <c r="I150" s="3">
        <f>IF(D150="","",IFERROR(VLOOKUP(D150,Setup!$A$2:$B$60,2,FALSE),""))</f>
      </c>
      <c r="J150" s="7">
        <f>IF(I150="","",MIN(MAX(0,IF(G150="",H150,G150)),H150))</f>
      </c>
      <c r="K150" s="5">
        <f>IF(J150="","",J150/60)</f>
      </c>
      <c r="L150" s="5">
        <f>IF(J150="","",(H150-J150)/60)</f>
      </c>
      <c r="M150" s="5">
        <f>IF(I150="Y",K150,0)</f>
      </c>
      <c r="N150" s="3">
        <f>IF(I150="Y",MAX(0,N(F150)),0)</f>
      </c>
      <c r="O150" s="5">
        <f>IF(M150&gt;0,N150/M150,"")</f>
      </c>
    </row>
    <row r="151" spans="1:15" x14ac:dyDescent="0.25">
      <c r="A151" s="2">
        <v>46304</v>
      </c>
      <c r="B151" s="10">
        <v>0.0625</v>
      </c>
      <c r="C151" s="10">
        <v>0.08333333333333333</v>
      </c>
      <c r="D151" s="11"/>
      <c r="E151" s="11"/>
      <c r="F151" s="11"/>
      <c r="G151" s="11"/>
      <c r="H151" s="11">
        <v>30</v>
      </c>
      <c r="I151" s="3">
        <f>IF(D151="","",IFERROR(VLOOKUP(D151,Setup!$A$2:$B$60,2,FALSE),""))</f>
      </c>
      <c r="J151" s="7">
        <f>IF(I151="","",MIN(MAX(0,IF(G151="",H151,G151)),H151))</f>
      </c>
      <c r="K151" s="5">
        <f>IF(J151="","",J151/60)</f>
      </c>
      <c r="L151" s="5">
        <f>IF(J151="","",(H151-J151)/60)</f>
      </c>
      <c r="M151" s="5">
        <f>IF(I151="Y",K151,0)</f>
      </c>
      <c r="N151" s="3">
        <f>IF(I151="Y",MAX(0,N(F151)),0)</f>
      </c>
      <c r="O151" s="5">
        <f>IF(M151&gt;0,N151/M151,"")</f>
      </c>
    </row>
    <row r="152" spans="1:15" x14ac:dyDescent="0.25">
      <c r="A152" s="2">
        <v>46304</v>
      </c>
      <c r="B152" s="10">
        <v>0.08333333333333333</v>
      </c>
      <c r="C152" s="10">
        <v>0.10416666666666667</v>
      </c>
      <c r="D152" s="11"/>
      <c r="E152" s="11"/>
      <c r="F152" s="11"/>
      <c r="G152" s="11"/>
      <c r="H152" s="11">
        <v>30</v>
      </c>
      <c r="I152" s="3">
        <f>IF(D152="","",IFERROR(VLOOKUP(D152,Setup!$A$2:$B$60,2,FALSE),""))</f>
      </c>
      <c r="J152" s="7">
        <f>IF(I152="","",MIN(MAX(0,IF(G152="",H152,G152)),H152))</f>
      </c>
      <c r="K152" s="5">
        <f>IF(J152="","",J152/60)</f>
      </c>
      <c r="L152" s="5">
        <f>IF(J152="","",(H152-J152)/60)</f>
      </c>
      <c r="M152" s="5">
        <f>IF(I152="Y",K152,0)</f>
      </c>
      <c r="N152" s="3">
        <f>IF(I152="Y",MAX(0,N(F152)),0)</f>
      </c>
      <c r="O152" s="5">
        <f>IF(M152&gt;0,N152/M152,"")</f>
      </c>
    </row>
    <row r="153" spans="1:15" x14ac:dyDescent="0.25">
      <c r="A153" s="2">
        <v>46304</v>
      </c>
      <c r="B153" s="10">
        <v>0.10416666666666667</v>
      </c>
      <c r="C153" s="10">
        <v>0.125</v>
      </c>
      <c r="D153" s="11"/>
      <c r="E153" s="11"/>
      <c r="F153" s="11"/>
      <c r="G153" s="11"/>
      <c r="H153" s="11">
        <v>30</v>
      </c>
      <c r="I153" s="3">
        <f>IF(D153="","",IFERROR(VLOOKUP(D153,Setup!$A$2:$B$60,2,FALSE),""))</f>
      </c>
      <c r="J153" s="7">
        <f>IF(I153="","",MIN(MAX(0,IF(G153="",H153,G153)),H153))</f>
      </c>
      <c r="K153" s="5">
        <f>IF(J153="","",J153/60)</f>
      </c>
      <c r="L153" s="5">
        <f>IF(J153="","",(H153-J153)/60)</f>
      </c>
      <c r="M153" s="5">
        <f>IF(I153="Y",K153,0)</f>
      </c>
      <c r="N153" s="3">
        <f>IF(I153="Y",MAX(0,N(F153)),0)</f>
      </c>
      <c r="O153" s="5">
        <f>IF(M153&gt;0,N153/M153,"")</f>
      </c>
    </row>
    <row r="154" spans="1:15" x14ac:dyDescent="0.25">
      <c r="A154" s="2">
        <v>46304</v>
      </c>
      <c r="B154" s="10">
        <v>0.125</v>
      </c>
      <c r="C154" s="10">
        <v>0.14583333333333334</v>
      </c>
      <c r="D154" s="11"/>
      <c r="E154" s="11"/>
      <c r="F154" s="11"/>
      <c r="G154" s="11"/>
      <c r="H154" s="11">
        <v>30</v>
      </c>
      <c r="I154" s="3">
        <f>IF(D154="","",IFERROR(VLOOKUP(D154,Setup!$A$2:$B$60,2,FALSE),""))</f>
      </c>
      <c r="J154" s="7">
        <f>IF(I154="","",MIN(MAX(0,IF(G154="",H154,G154)),H154))</f>
      </c>
      <c r="K154" s="5">
        <f>IF(J154="","",J154/60)</f>
      </c>
      <c r="L154" s="5">
        <f>IF(J154="","",(H154-J154)/60)</f>
      </c>
      <c r="M154" s="5">
        <f>IF(I154="Y",K154,0)</f>
      </c>
      <c r="N154" s="3">
        <f>IF(I154="Y",MAX(0,N(F154)),0)</f>
      </c>
      <c r="O154" s="5">
        <f>IF(M154&gt;0,N154/M154,"")</f>
      </c>
    </row>
    <row r="155" spans="1:15" x14ac:dyDescent="0.25">
      <c r="A155" s="2">
        <v>46304</v>
      </c>
      <c r="B155" s="10">
        <v>0.14583333333333334</v>
      </c>
      <c r="C155" s="10">
        <v>0.16666666666666666</v>
      </c>
      <c r="D155" s="11"/>
      <c r="E155" s="11"/>
      <c r="F155" s="11"/>
      <c r="G155" s="11"/>
      <c r="H155" s="11">
        <v>30</v>
      </c>
      <c r="I155" s="3">
        <f>IF(D155="","",IFERROR(VLOOKUP(D155,Setup!$A$2:$B$60,2,FALSE),""))</f>
      </c>
      <c r="J155" s="7">
        <f>IF(I155="","",MIN(MAX(0,IF(G155="",H155,G155)),H155))</f>
      </c>
      <c r="K155" s="5">
        <f>IF(J155="","",J155/60)</f>
      </c>
      <c r="L155" s="5">
        <f>IF(J155="","",(H155-J155)/60)</f>
      </c>
      <c r="M155" s="5">
        <f>IF(I155="Y",K155,0)</f>
      </c>
      <c r="N155" s="3">
        <f>IF(I155="Y",MAX(0,N(F155)),0)</f>
      </c>
      <c r="O155" s="5">
        <f>IF(M155&gt;0,N155/M155,"")</f>
      </c>
    </row>
    <row r="156" spans="1:15" x14ac:dyDescent="0.25">
      <c r="A156" s="2">
        <v>46304</v>
      </c>
      <c r="B156" s="10">
        <v>0.16666666666666666</v>
      </c>
      <c r="C156" s="10">
        <v>0.1875</v>
      </c>
      <c r="D156" s="11"/>
      <c r="E156" s="11"/>
      <c r="F156" s="11"/>
      <c r="G156" s="11"/>
      <c r="H156" s="11">
        <v>30</v>
      </c>
      <c r="I156" s="3">
        <f>IF(D156="","",IFERROR(VLOOKUP(D156,Setup!$A$2:$B$60,2,FALSE),""))</f>
      </c>
      <c r="J156" s="7">
        <f>IF(I156="","",MIN(MAX(0,IF(G156="",H156,G156)),H156))</f>
      </c>
      <c r="K156" s="5">
        <f>IF(J156="","",J156/60)</f>
      </c>
      <c r="L156" s="5">
        <f>IF(J156="","",(H156-J156)/60)</f>
      </c>
      <c r="M156" s="5">
        <f>IF(I156="Y",K156,0)</f>
      </c>
      <c r="N156" s="3">
        <f>IF(I156="Y",MAX(0,N(F156)),0)</f>
      </c>
      <c r="O156" s="5">
        <f>IF(M156&gt;0,N156/M156,"")</f>
      </c>
    </row>
    <row r="157" spans="1:15" x14ac:dyDescent="0.25">
      <c r="A157" s="2">
        <v>46304</v>
      </c>
      <c r="B157" s="10">
        <v>0.1875</v>
      </c>
      <c r="C157" s="10">
        <v>0.20833333333333334</v>
      </c>
      <c r="D157" s="11"/>
      <c r="E157" s="11"/>
      <c r="F157" s="11"/>
      <c r="G157" s="11"/>
      <c r="H157" s="11">
        <v>30</v>
      </c>
      <c r="I157" s="3">
        <f>IF(D157="","",IFERROR(VLOOKUP(D157,Setup!$A$2:$B$60,2,FALSE),""))</f>
      </c>
      <c r="J157" s="7">
        <f>IF(I157="","",MIN(MAX(0,IF(G157="",H157,G157)),H157))</f>
      </c>
      <c r="K157" s="5">
        <f>IF(J157="","",J157/60)</f>
      </c>
      <c r="L157" s="5">
        <f>IF(J157="","",(H157-J157)/60)</f>
      </c>
      <c r="M157" s="5">
        <f>IF(I157="Y",K157,0)</f>
      </c>
      <c r="N157" s="3">
        <f>IF(I157="Y",MAX(0,N(F157)),0)</f>
      </c>
      <c r="O157" s="5">
        <f>IF(M157&gt;0,N157/M157,"")</f>
      </c>
    </row>
    <row r="158" spans="1:15" x14ac:dyDescent="0.25">
      <c r="A158" s="2">
        <v>46304</v>
      </c>
      <c r="B158" s="10">
        <v>0.20833333333333334</v>
      </c>
      <c r="C158" s="10">
        <v>0.22916666666666666</v>
      </c>
      <c r="D158" s="11"/>
      <c r="E158" s="11"/>
      <c r="F158" s="11"/>
      <c r="G158" s="11"/>
      <c r="H158" s="11">
        <v>30</v>
      </c>
      <c r="I158" s="3">
        <f>IF(D158="","",IFERROR(VLOOKUP(D158,Setup!$A$2:$B$60,2,FALSE),""))</f>
      </c>
      <c r="J158" s="7">
        <f>IF(I158="","",MIN(MAX(0,IF(G158="",H158,G158)),H158))</f>
      </c>
      <c r="K158" s="5">
        <f>IF(J158="","",J158/60)</f>
      </c>
      <c r="L158" s="5">
        <f>IF(J158="","",(H158-J158)/60)</f>
      </c>
      <c r="M158" s="5">
        <f>IF(I158="Y",K158,0)</f>
      </c>
      <c r="N158" s="3">
        <f>IF(I158="Y",MAX(0,N(F158)),0)</f>
      </c>
      <c r="O158" s="5">
        <f>IF(M158&gt;0,N158/M158,"")</f>
      </c>
    </row>
    <row r="159" spans="1:15" x14ac:dyDescent="0.25">
      <c r="A159" s="2">
        <v>46304</v>
      </c>
      <c r="B159" s="10">
        <v>0.22916666666666666</v>
      </c>
      <c r="C159" s="10">
        <v>0.25</v>
      </c>
      <c r="D159" s="11"/>
      <c r="E159" s="11"/>
      <c r="F159" s="11"/>
      <c r="G159" s="11"/>
      <c r="H159" s="11">
        <v>30</v>
      </c>
      <c r="I159" s="3">
        <f>IF(D159="","",IFERROR(VLOOKUP(D159,Setup!$A$2:$B$60,2,FALSE),""))</f>
      </c>
      <c r="J159" s="7">
        <f>IF(I159="","",MIN(MAX(0,IF(G159="",H159,G159)),H159))</f>
      </c>
      <c r="K159" s="5">
        <f>IF(J159="","",J159/60)</f>
      </c>
      <c r="L159" s="5">
        <f>IF(J159="","",(H159-J159)/60)</f>
      </c>
      <c r="M159" s="5">
        <f>IF(I159="Y",K159,0)</f>
      </c>
      <c r="N159" s="3">
        <f>IF(I159="Y",MAX(0,N(F159)),0)</f>
      </c>
      <c r="O159" s="5">
        <f>IF(M159&gt;0,N159/M159,"")</f>
      </c>
    </row>
    <row r="160" spans="1:15" x14ac:dyDescent="0.25">
      <c r="A160" s="2">
        <v>46304</v>
      </c>
      <c r="B160" s="10">
        <v>0.25</v>
      </c>
      <c r="C160" s="10">
        <v>0.2708333333333333</v>
      </c>
      <c r="D160" s="11"/>
      <c r="E160" s="11"/>
      <c r="F160" s="11"/>
      <c r="G160" s="11"/>
      <c r="H160" s="11">
        <v>30</v>
      </c>
      <c r="I160" s="3">
        <f>IF(D160="","",IFERROR(VLOOKUP(D160,Setup!$A$2:$B$60,2,FALSE),""))</f>
      </c>
      <c r="J160" s="7">
        <f>IF(I160="","",MIN(MAX(0,IF(G160="",H160,G160)),H160))</f>
      </c>
      <c r="K160" s="5">
        <f>IF(J160="","",J160/60)</f>
      </c>
      <c r="L160" s="5">
        <f>IF(J160="","",(H160-J160)/60)</f>
      </c>
      <c r="M160" s="5">
        <f>IF(I160="Y",K160,0)</f>
      </c>
      <c r="N160" s="3">
        <f>IF(I160="Y",MAX(0,N(F160)),0)</f>
      </c>
      <c r="O160" s="5">
        <f>IF(M160&gt;0,N160/M160,"")</f>
      </c>
    </row>
    <row r="161" spans="1:15" x14ac:dyDescent="0.25">
      <c r="A161" s="2">
        <v>46304</v>
      </c>
      <c r="B161" s="10">
        <v>0.2708333333333333</v>
      </c>
      <c r="C161" s="10">
        <v>0.2916666666666667</v>
      </c>
      <c r="D161" s="11"/>
      <c r="E161" s="11"/>
      <c r="F161" s="11"/>
      <c r="G161" s="11"/>
      <c r="H161" s="11">
        <v>30</v>
      </c>
      <c r="I161" s="3">
        <f>IF(D161="","",IFERROR(VLOOKUP(D161,Setup!$A$2:$B$60,2,FALSE),""))</f>
      </c>
      <c r="J161" s="7">
        <f>IF(I161="","",MIN(MAX(0,IF(G161="",H161,G161)),H161))</f>
      </c>
      <c r="K161" s="5">
        <f>IF(J161="","",J161/60)</f>
      </c>
      <c r="L161" s="5">
        <f>IF(J161="","",(H161-J161)/60)</f>
      </c>
      <c r="M161" s="5">
        <f>IF(I161="Y",K161,0)</f>
      </c>
      <c r="N161" s="3">
        <f>IF(I161="Y",MAX(0,N(F161)),0)</f>
      </c>
      <c r="O161" s="5">
        <f>IF(M161&gt;0,N161/M161,"")</f>
      </c>
    </row>
    <row r="162" spans="1:15" x14ac:dyDescent="0.25">
      <c r="A162" s="2">
        <v>46304</v>
      </c>
      <c r="B162" s="10">
        <v>0.2916666666666667</v>
      </c>
      <c r="C162" s="10">
        <v>0.3125</v>
      </c>
      <c r="D162" s="11"/>
      <c r="E162" s="11"/>
      <c r="F162" s="11"/>
      <c r="G162" s="11"/>
      <c r="H162" s="11">
        <v>30</v>
      </c>
      <c r="I162" s="3">
        <f>IF(D162="","",IFERROR(VLOOKUP(D162,Setup!$A$2:$B$60,2,FALSE),""))</f>
      </c>
      <c r="J162" s="7">
        <f>IF(I162="","",MIN(MAX(0,IF(G162="",H162,G162)),H162))</f>
      </c>
      <c r="K162" s="5">
        <f>IF(J162="","",J162/60)</f>
      </c>
      <c r="L162" s="5">
        <f>IF(J162="","",(H162-J162)/60)</f>
      </c>
      <c r="M162" s="5">
        <f>IF(I162="Y",K162,0)</f>
      </c>
      <c r="N162" s="3">
        <f>IF(I162="Y",MAX(0,N(F162)),0)</f>
      </c>
      <c r="O162" s="5">
        <f>IF(M162&gt;0,N162/M162,"")</f>
      </c>
    </row>
    <row r="163" spans="1:15" x14ac:dyDescent="0.25">
      <c r="A163" s="2">
        <v>46304</v>
      </c>
      <c r="B163" s="10">
        <v>0.3125</v>
      </c>
      <c r="C163" s="10">
        <v>0.3333333333333333</v>
      </c>
      <c r="D163" s="11"/>
      <c r="E163" s="11"/>
      <c r="F163" s="11"/>
      <c r="G163" s="11"/>
      <c r="H163" s="11">
        <v>30</v>
      </c>
      <c r="I163" s="3">
        <f>IF(D163="","",IFERROR(VLOOKUP(D163,Setup!$A$2:$B$60,2,FALSE),""))</f>
      </c>
      <c r="J163" s="7">
        <f>IF(I163="","",MIN(MAX(0,IF(G163="",H163,G163)),H163))</f>
      </c>
      <c r="K163" s="5">
        <f>IF(J163="","",J163/60)</f>
      </c>
      <c r="L163" s="5">
        <f>IF(J163="","",(H163-J163)/60)</f>
      </c>
      <c r="M163" s="5">
        <f>IF(I163="Y",K163,0)</f>
      </c>
      <c r="N163" s="3">
        <f>IF(I163="Y",MAX(0,N(F163)),0)</f>
      </c>
      <c r="O163" s="5">
        <f>IF(M163&gt;0,N163/M163,"")</f>
      </c>
    </row>
    <row r="164" spans="1:15" x14ac:dyDescent="0.25">
      <c r="A164" s="2">
        <v>46305</v>
      </c>
      <c r="B164" s="10">
        <v>0.9583333333333334</v>
      </c>
      <c r="C164" s="10">
        <v>0.9791666666666666</v>
      </c>
      <c r="D164" s="11"/>
      <c r="E164" s="11"/>
      <c r="F164" s="11"/>
      <c r="G164" s="11"/>
      <c r="H164" s="11">
        <v>30</v>
      </c>
      <c r="I164" s="3">
        <f>IF(D164="","",IFERROR(VLOOKUP(D164,Setup!$A$2:$B$60,2,FALSE),""))</f>
      </c>
      <c r="J164" s="7">
        <f>IF(I164="","",MIN(MAX(0,IF(G164="",H164,G164)),H164))</f>
      </c>
      <c r="K164" s="5">
        <f>IF(J164="","",J164/60)</f>
      </c>
      <c r="L164" s="5">
        <f>IF(J164="","",(H164-J164)/60)</f>
      </c>
      <c r="M164" s="5">
        <f>IF(I164="Y",K164,0)</f>
      </c>
      <c r="N164" s="3">
        <f>IF(I164="Y",MAX(0,N(F164)),0)</f>
      </c>
      <c r="O164" s="5">
        <f>IF(M164&gt;0,N164/M164,"")</f>
      </c>
    </row>
    <row r="165" spans="1:15" x14ac:dyDescent="0.25">
      <c r="A165" s="2">
        <v>46305</v>
      </c>
      <c r="B165" s="10">
        <v>0.9791666666666666</v>
      </c>
      <c r="C165" s="10">
        <v>0</v>
      </c>
      <c r="D165" s="11"/>
      <c r="E165" s="11"/>
      <c r="F165" s="11"/>
      <c r="G165" s="11"/>
      <c r="H165" s="11">
        <v>30</v>
      </c>
      <c r="I165" s="3">
        <f>IF(D165="","",IFERROR(VLOOKUP(D165,Setup!$A$2:$B$60,2,FALSE),""))</f>
      </c>
      <c r="J165" s="7">
        <f>IF(I165="","",MIN(MAX(0,IF(G165="",H165,G165)),H165))</f>
      </c>
      <c r="K165" s="5">
        <f>IF(J165="","",J165/60)</f>
      </c>
      <c r="L165" s="5">
        <f>IF(J165="","",(H165-J165)/60)</f>
      </c>
      <c r="M165" s="5">
        <f>IF(I165="Y",K165,0)</f>
      </c>
      <c r="N165" s="3">
        <f>IF(I165="Y",MAX(0,N(F165)),0)</f>
      </c>
      <c r="O165" s="5">
        <f>IF(M165&gt;0,N165/M165,"")</f>
      </c>
    </row>
    <row r="166" spans="1:15" x14ac:dyDescent="0.25">
      <c r="A166" s="2">
        <v>46305</v>
      </c>
      <c r="B166" s="10">
        <v>0</v>
      </c>
      <c r="C166" s="10">
        <v>0.020833333333333332</v>
      </c>
      <c r="D166" s="11"/>
      <c r="E166" s="11"/>
      <c r="F166" s="11"/>
      <c r="G166" s="11"/>
      <c r="H166" s="11">
        <v>30</v>
      </c>
      <c r="I166" s="3">
        <f>IF(D166="","",IFERROR(VLOOKUP(D166,Setup!$A$2:$B$60,2,FALSE),""))</f>
      </c>
      <c r="J166" s="7">
        <f>IF(I166="","",MIN(MAX(0,IF(G166="",H166,G166)),H166))</f>
      </c>
      <c r="K166" s="5">
        <f>IF(J166="","",J166/60)</f>
      </c>
      <c r="L166" s="5">
        <f>IF(J166="","",(H166-J166)/60)</f>
      </c>
      <c r="M166" s="5">
        <f>IF(I166="Y",K166,0)</f>
      </c>
      <c r="N166" s="3">
        <f>IF(I166="Y",MAX(0,N(F166)),0)</f>
      </c>
      <c r="O166" s="5">
        <f>IF(M166&gt;0,N166/M166,"")</f>
      </c>
    </row>
    <row r="167" spans="1:15" x14ac:dyDescent="0.25">
      <c r="A167" s="2">
        <v>46305</v>
      </c>
      <c r="B167" s="10">
        <v>0.020833333333333332</v>
      </c>
      <c r="C167" s="10">
        <v>0.041666666666666664</v>
      </c>
      <c r="D167" s="11"/>
      <c r="E167" s="11"/>
      <c r="F167" s="11"/>
      <c r="G167" s="11"/>
      <c r="H167" s="11">
        <v>30</v>
      </c>
      <c r="I167" s="3">
        <f>IF(D167="","",IFERROR(VLOOKUP(D167,Setup!$A$2:$B$60,2,FALSE),""))</f>
      </c>
      <c r="J167" s="7">
        <f>IF(I167="","",MIN(MAX(0,IF(G167="",H167,G167)),H167))</f>
      </c>
      <c r="K167" s="5">
        <f>IF(J167="","",J167/60)</f>
      </c>
      <c r="L167" s="5">
        <f>IF(J167="","",(H167-J167)/60)</f>
      </c>
      <c r="M167" s="5">
        <f>IF(I167="Y",K167,0)</f>
      </c>
      <c r="N167" s="3">
        <f>IF(I167="Y",MAX(0,N(F167)),0)</f>
      </c>
      <c r="O167" s="5">
        <f>IF(M167&gt;0,N167/M167,"")</f>
      </c>
    </row>
    <row r="168" spans="1:15" x14ac:dyDescent="0.25">
      <c r="A168" s="2">
        <v>46305</v>
      </c>
      <c r="B168" s="10">
        <v>0.041666666666666664</v>
      </c>
      <c r="C168" s="10">
        <v>0.0625</v>
      </c>
      <c r="D168" s="11"/>
      <c r="E168" s="11"/>
      <c r="F168" s="11"/>
      <c r="G168" s="11"/>
      <c r="H168" s="11">
        <v>30</v>
      </c>
      <c r="I168" s="3">
        <f>IF(D168="","",IFERROR(VLOOKUP(D168,Setup!$A$2:$B$60,2,FALSE),""))</f>
      </c>
      <c r="J168" s="7">
        <f>IF(I168="","",MIN(MAX(0,IF(G168="",H168,G168)),H168))</f>
      </c>
      <c r="K168" s="5">
        <f>IF(J168="","",J168/60)</f>
      </c>
      <c r="L168" s="5">
        <f>IF(J168="","",(H168-J168)/60)</f>
      </c>
      <c r="M168" s="5">
        <f>IF(I168="Y",K168,0)</f>
      </c>
      <c r="N168" s="3">
        <f>IF(I168="Y",MAX(0,N(F168)),0)</f>
      </c>
      <c r="O168" s="5">
        <f>IF(M168&gt;0,N168/M168,"")</f>
      </c>
    </row>
    <row r="169" spans="1:15" x14ac:dyDescent="0.25">
      <c r="A169" s="2">
        <v>46305</v>
      </c>
      <c r="B169" s="10">
        <v>0.0625</v>
      </c>
      <c r="C169" s="10">
        <v>0.08333333333333333</v>
      </c>
      <c r="D169" s="11"/>
      <c r="E169" s="11"/>
      <c r="F169" s="11"/>
      <c r="G169" s="11"/>
      <c r="H169" s="11">
        <v>30</v>
      </c>
      <c r="I169" s="3">
        <f>IF(D169="","",IFERROR(VLOOKUP(D169,Setup!$A$2:$B$60,2,FALSE),""))</f>
      </c>
      <c r="J169" s="7">
        <f>IF(I169="","",MIN(MAX(0,IF(G169="",H169,G169)),H169))</f>
      </c>
      <c r="K169" s="5">
        <f>IF(J169="","",J169/60)</f>
      </c>
      <c r="L169" s="5">
        <f>IF(J169="","",(H169-J169)/60)</f>
      </c>
      <c r="M169" s="5">
        <f>IF(I169="Y",K169,0)</f>
      </c>
      <c r="N169" s="3">
        <f>IF(I169="Y",MAX(0,N(F169)),0)</f>
      </c>
      <c r="O169" s="5">
        <f>IF(M169&gt;0,N169/M169,"")</f>
      </c>
    </row>
    <row r="170" spans="1:15" x14ac:dyDescent="0.25">
      <c r="A170" s="2">
        <v>46305</v>
      </c>
      <c r="B170" s="10">
        <v>0.08333333333333333</v>
      </c>
      <c r="C170" s="10">
        <v>0.10416666666666667</v>
      </c>
      <c r="D170" s="11"/>
      <c r="E170" s="11"/>
      <c r="F170" s="11"/>
      <c r="G170" s="11"/>
      <c r="H170" s="11">
        <v>30</v>
      </c>
      <c r="I170" s="3">
        <f>IF(D170="","",IFERROR(VLOOKUP(D170,Setup!$A$2:$B$60,2,FALSE),""))</f>
      </c>
      <c r="J170" s="7">
        <f>IF(I170="","",MIN(MAX(0,IF(G170="",H170,G170)),H170))</f>
      </c>
      <c r="K170" s="5">
        <f>IF(J170="","",J170/60)</f>
      </c>
      <c r="L170" s="5">
        <f>IF(J170="","",(H170-J170)/60)</f>
      </c>
      <c r="M170" s="5">
        <f>IF(I170="Y",K170,0)</f>
      </c>
      <c r="N170" s="3">
        <f>IF(I170="Y",MAX(0,N(F170)),0)</f>
      </c>
      <c r="O170" s="5">
        <f>IF(M170&gt;0,N170/M170,"")</f>
      </c>
    </row>
    <row r="171" spans="1:15" x14ac:dyDescent="0.25">
      <c r="A171" s="2">
        <v>46305</v>
      </c>
      <c r="B171" s="10">
        <v>0.10416666666666667</v>
      </c>
      <c r="C171" s="10">
        <v>0.125</v>
      </c>
      <c r="D171" s="11"/>
      <c r="E171" s="11"/>
      <c r="F171" s="11"/>
      <c r="G171" s="11"/>
      <c r="H171" s="11">
        <v>30</v>
      </c>
      <c r="I171" s="3">
        <f>IF(D171="","",IFERROR(VLOOKUP(D171,Setup!$A$2:$B$60,2,FALSE),""))</f>
      </c>
      <c r="J171" s="7">
        <f>IF(I171="","",MIN(MAX(0,IF(G171="",H171,G171)),H171))</f>
      </c>
      <c r="K171" s="5">
        <f>IF(J171="","",J171/60)</f>
      </c>
      <c r="L171" s="5">
        <f>IF(J171="","",(H171-J171)/60)</f>
      </c>
      <c r="M171" s="5">
        <f>IF(I171="Y",K171,0)</f>
      </c>
      <c r="N171" s="3">
        <f>IF(I171="Y",MAX(0,N(F171)),0)</f>
      </c>
      <c r="O171" s="5">
        <f>IF(M171&gt;0,N171/M171,"")</f>
      </c>
    </row>
    <row r="172" spans="1:15" x14ac:dyDescent="0.25">
      <c r="A172" s="2">
        <v>46305</v>
      </c>
      <c r="B172" s="10">
        <v>0.125</v>
      </c>
      <c r="C172" s="10">
        <v>0.14583333333333334</v>
      </c>
      <c r="D172" s="11"/>
      <c r="E172" s="11"/>
      <c r="F172" s="11"/>
      <c r="G172" s="11"/>
      <c r="H172" s="11">
        <v>30</v>
      </c>
      <c r="I172" s="3">
        <f>IF(D172="","",IFERROR(VLOOKUP(D172,Setup!$A$2:$B$60,2,FALSE),""))</f>
      </c>
      <c r="J172" s="7">
        <f>IF(I172="","",MIN(MAX(0,IF(G172="",H172,G172)),H172))</f>
      </c>
      <c r="K172" s="5">
        <f>IF(J172="","",J172/60)</f>
      </c>
      <c r="L172" s="5">
        <f>IF(J172="","",(H172-J172)/60)</f>
      </c>
      <c r="M172" s="5">
        <f>IF(I172="Y",K172,0)</f>
      </c>
      <c r="N172" s="3">
        <f>IF(I172="Y",MAX(0,N(F172)),0)</f>
      </c>
      <c r="O172" s="5">
        <f>IF(M172&gt;0,N172/M172,"")</f>
      </c>
    </row>
    <row r="173" spans="1:15" x14ac:dyDescent="0.25">
      <c r="A173" s="2">
        <v>46305</v>
      </c>
      <c r="B173" s="10">
        <v>0.14583333333333334</v>
      </c>
      <c r="C173" s="10">
        <v>0.16666666666666666</v>
      </c>
      <c r="D173" s="11"/>
      <c r="E173" s="11"/>
      <c r="F173" s="11"/>
      <c r="G173" s="11"/>
      <c r="H173" s="11">
        <v>30</v>
      </c>
      <c r="I173" s="3">
        <f>IF(D173="","",IFERROR(VLOOKUP(D173,Setup!$A$2:$B$60,2,FALSE),""))</f>
      </c>
      <c r="J173" s="7">
        <f>IF(I173="","",MIN(MAX(0,IF(G173="",H173,G173)),H173))</f>
      </c>
      <c r="K173" s="5">
        <f>IF(J173="","",J173/60)</f>
      </c>
      <c r="L173" s="5">
        <f>IF(J173="","",(H173-J173)/60)</f>
      </c>
      <c r="M173" s="5">
        <f>IF(I173="Y",K173,0)</f>
      </c>
      <c r="N173" s="3">
        <f>IF(I173="Y",MAX(0,N(F173)),0)</f>
      </c>
      <c r="O173" s="5">
        <f>IF(M173&gt;0,N173/M173,"")</f>
      </c>
    </row>
    <row r="174" spans="1:15" x14ac:dyDescent="0.25">
      <c r="A174" s="2">
        <v>46305</v>
      </c>
      <c r="B174" s="10">
        <v>0.16666666666666666</v>
      </c>
      <c r="C174" s="10">
        <v>0.1875</v>
      </c>
      <c r="D174" s="11"/>
      <c r="E174" s="11"/>
      <c r="F174" s="11"/>
      <c r="G174" s="11"/>
      <c r="H174" s="11">
        <v>30</v>
      </c>
      <c r="I174" s="3">
        <f>IF(D174="","",IFERROR(VLOOKUP(D174,Setup!$A$2:$B$60,2,FALSE),""))</f>
      </c>
      <c r="J174" s="7">
        <f>IF(I174="","",MIN(MAX(0,IF(G174="",H174,G174)),H174))</f>
      </c>
      <c r="K174" s="5">
        <f>IF(J174="","",J174/60)</f>
      </c>
      <c r="L174" s="5">
        <f>IF(J174="","",(H174-J174)/60)</f>
      </c>
      <c r="M174" s="5">
        <f>IF(I174="Y",K174,0)</f>
      </c>
      <c r="N174" s="3">
        <f>IF(I174="Y",MAX(0,N(F174)),0)</f>
      </c>
      <c r="O174" s="5">
        <f>IF(M174&gt;0,N174/M174,"")</f>
      </c>
    </row>
    <row r="175" spans="1:15" x14ac:dyDescent="0.25">
      <c r="A175" s="2">
        <v>46305</v>
      </c>
      <c r="B175" s="10">
        <v>0.1875</v>
      </c>
      <c r="C175" s="10">
        <v>0.20833333333333334</v>
      </c>
      <c r="D175" s="11"/>
      <c r="E175" s="11"/>
      <c r="F175" s="11"/>
      <c r="G175" s="11"/>
      <c r="H175" s="11">
        <v>30</v>
      </c>
      <c r="I175" s="3">
        <f>IF(D175="","",IFERROR(VLOOKUP(D175,Setup!$A$2:$B$60,2,FALSE),""))</f>
      </c>
      <c r="J175" s="7">
        <f>IF(I175="","",MIN(MAX(0,IF(G175="",H175,G175)),H175))</f>
      </c>
      <c r="K175" s="5">
        <f>IF(J175="","",J175/60)</f>
      </c>
      <c r="L175" s="5">
        <f>IF(J175="","",(H175-J175)/60)</f>
      </c>
      <c r="M175" s="5">
        <f>IF(I175="Y",K175,0)</f>
      </c>
      <c r="N175" s="3">
        <f>IF(I175="Y",MAX(0,N(F175)),0)</f>
      </c>
      <c r="O175" s="5">
        <f>IF(M175&gt;0,N175/M175,"")</f>
      </c>
    </row>
    <row r="176" spans="1:15" x14ac:dyDescent="0.25">
      <c r="A176" s="2">
        <v>46305</v>
      </c>
      <c r="B176" s="10">
        <v>0.20833333333333334</v>
      </c>
      <c r="C176" s="10">
        <v>0.22916666666666666</v>
      </c>
      <c r="D176" s="11"/>
      <c r="E176" s="11"/>
      <c r="F176" s="11"/>
      <c r="G176" s="11"/>
      <c r="H176" s="11">
        <v>30</v>
      </c>
      <c r="I176" s="3">
        <f>IF(D176="","",IFERROR(VLOOKUP(D176,Setup!$A$2:$B$60,2,FALSE),""))</f>
      </c>
      <c r="J176" s="7">
        <f>IF(I176="","",MIN(MAX(0,IF(G176="",H176,G176)),H176))</f>
      </c>
      <c r="K176" s="5">
        <f>IF(J176="","",J176/60)</f>
      </c>
      <c r="L176" s="5">
        <f>IF(J176="","",(H176-J176)/60)</f>
      </c>
      <c r="M176" s="5">
        <f>IF(I176="Y",K176,0)</f>
      </c>
      <c r="N176" s="3">
        <f>IF(I176="Y",MAX(0,N(F176)),0)</f>
      </c>
      <c r="O176" s="5">
        <f>IF(M176&gt;0,N176/M176,"")</f>
      </c>
    </row>
    <row r="177" spans="1:15" x14ac:dyDescent="0.25">
      <c r="A177" s="2">
        <v>46305</v>
      </c>
      <c r="B177" s="10">
        <v>0.22916666666666666</v>
      </c>
      <c r="C177" s="10">
        <v>0.25</v>
      </c>
      <c r="D177" s="11"/>
      <c r="E177" s="11"/>
      <c r="F177" s="11"/>
      <c r="G177" s="11"/>
      <c r="H177" s="11">
        <v>30</v>
      </c>
      <c r="I177" s="3">
        <f>IF(D177="","",IFERROR(VLOOKUP(D177,Setup!$A$2:$B$60,2,FALSE),""))</f>
      </c>
      <c r="J177" s="7">
        <f>IF(I177="","",MIN(MAX(0,IF(G177="",H177,G177)),H177))</f>
      </c>
      <c r="K177" s="5">
        <f>IF(J177="","",J177/60)</f>
      </c>
      <c r="L177" s="5">
        <f>IF(J177="","",(H177-J177)/60)</f>
      </c>
      <c r="M177" s="5">
        <f>IF(I177="Y",K177,0)</f>
      </c>
      <c r="N177" s="3">
        <f>IF(I177="Y",MAX(0,N(F177)),0)</f>
      </c>
      <c r="O177" s="5">
        <f>IF(M177&gt;0,N177/M177,"")</f>
      </c>
    </row>
    <row r="178" spans="1:15" x14ac:dyDescent="0.25">
      <c r="A178" s="2">
        <v>46305</v>
      </c>
      <c r="B178" s="10">
        <v>0.25</v>
      </c>
      <c r="C178" s="10">
        <v>0.2708333333333333</v>
      </c>
      <c r="D178" s="11"/>
      <c r="E178" s="11"/>
      <c r="F178" s="11"/>
      <c r="G178" s="11"/>
      <c r="H178" s="11">
        <v>30</v>
      </c>
      <c r="I178" s="3">
        <f>IF(D178="","",IFERROR(VLOOKUP(D178,Setup!$A$2:$B$60,2,FALSE),""))</f>
      </c>
      <c r="J178" s="7">
        <f>IF(I178="","",MIN(MAX(0,IF(G178="",H178,G178)),H178))</f>
      </c>
      <c r="K178" s="5">
        <f>IF(J178="","",J178/60)</f>
      </c>
      <c r="L178" s="5">
        <f>IF(J178="","",(H178-J178)/60)</f>
      </c>
      <c r="M178" s="5">
        <f>IF(I178="Y",K178,0)</f>
      </c>
      <c r="N178" s="3">
        <f>IF(I178="Y",MAX(0,N(F178)),0)</f>
      </c>
      <c r="O178" s="5">
        <f>IF(M178&gt;0,N178/M178,"")</f>
      </c>
    </row>
    <row r="179" spans="1:15" x14ac:dyDescent="0.25">
      <c r="A179" s="2">
        <v>46305</v>
      </c>
      <c r="B179" s="10">
        <v>0.2708333333333333</v>
      </c>
      <c r="C179" s="10">
        <v>0.2916666666666667</v>
      </c>
      <c r="D179" s="11"/>
      <c r="E179" s="11"/>
      <c r="F179" s="11"/>
      <c r="G179" s="11"/>
      <c r="H179" s="11">
        <v>30</v>
      </c>
      <c r="I179" s="3">
        <f>IF(D179="","",IFERROR(VLOOKUP(D179,Setup!$A$2:$B$60,2,FALSE),""))</f>
      </c>
      <c r="J179" s="7">
        <f>IF(I179="","",MIN(MAX(0,IF(G179="",H179,G179)),H179))</f>
      </c>
      <c r="K179" s="5">
        <f>IF(J179="","",J179/60)</f>
      </c>
      <c r="L179" s="5">
        <f>IF(J179="","",(H179-J179)/60)</f>
      </c>
      <c r="M179" s="5">
        <f>IF(I179="Y",K179,0)</f>
      </c>
      <c r="N179" s="3">
        <f>IF(I179="Y",MAX(0,N(F179)),0)</f>
      </c>
      <c r="O179" s="5">
        <f>IF(M179&gt;0,N179/M179,"")</f>
      </c>
    </row>
    <row r="180" spans="1:15" x14ac:dyDescent="0.25">
      <c r="A180" s="2">
        <v>46305</v>
      </c>
      <c r="B180" s="10">
        <v>0.2916666666666667</v>
      </c>
      <c r="C180" s="10">
        <v>0.3125</v>
      </c>
      <c r="D180" s="11"/>
      <c r="E180" s="11"/>
      <c r="F180" s="11"/>
      <c r="G180" s="11"/>
      <c r="H180" s="11">
        <v>30</v>
      </c>
      <c r="I180" s="3">
        <f>IF(D180="","",IFERROR(VLOOKUP(D180,Setup!$A$2:$B$60,2,FALSE),""))</f>
      </c>
      <c r="J180" s="7">
        <f>IF(I180="","",MIN(MAX(0,IF(G180="",H180,G180)),H180))</f>
      </c>
      <c r="K180" s="5">
        <f>IF(J180="","",J180/60)</f>
      </c>
      <c r="L180" s="5">
        <f>IF(J180="","",(H180-J180)/60)</f>
      </c>
      <c r="M180" s="5">
        <f>IF(I180="Y",K180,0)</f>
      </c>
      <c r="N180" s="3">
        <f>IF(I180="Y",MAX(0,N(F180)),0)</f>
      </c>
      <c r="O180" s="5">
        <f>IF(M180&gt;0,N180/M180,"")</f>
      </c>
    </row>
    <row r="181" spans="1:15" x14ac:dyDescent="0.25">
      <c r="A181" s="2">
        <v>46305</v>
      </c>
      <c r="B181" s="10">
        <v>0.3125</v>
      </c>
      <c r="C181" s="10">
        <v>0.3333333333333333</v>
      </c>
      <c r="D181" s="11"/>
      <c r="E181" s="11"/>
      <c r="F181" s="11"/>
      <c r="G181" s="11"/>
      <c r="H181" s="11">
        <v>30</v>
      </c>
      <c r="I181" s="3">
        <f>IF(D181="","",IFERROR(VLOOKUP(D181,Setup!$A$2:$B$60,2,FALSE),""))</f>
      </c>
      <c r="J181" s="7">
        <f>IF(I181="","",MIN(MAX(0,IF(G181="",H181,G181)),H181))</f>
      </c>
      <c r="K181" s="5">
        <f>IF(J181="","",J181/60)</f>
      </c>
      <c r="L181" s="5">
        <f>IF(J181="","",(H181-J181)/60)</f>
      </c>
      <c r="M181" s="5">
        <f>IF(I181="Y",K181,0)</f>
      </c>
      <c r="N181" s="3">
        <f>IF(I181="Y",MAX(0,N(F181)),0)</f>
      </c>
      <c r="O181" s="5">
        <f>IF(M181&gt;0,N181/M181,"")</f>
      </c>
    </row>
    <row r="182" spans="1:15" x14ac:dyDescent="0.25">
      <c r="A182" s="2">
        <v>46306</v>
      </c>
      <c r="B182" s="10">
        <v>0.9583333333333334</v>
      </c>
      <c r="C182" s="10">
        <v>0.9791666666666666</v>
      </c>
      <c r="D182" s="11"/>
      <c r="E182" s="11"/>
      <c r="F182" s="11"/>
      <c r="G182" s="11"/>
      <c r="H182" s="11">
        <v>30</v>
      </c>
      <c r="I182" s="3">
        <f>IF(D182="","",IFERROR(VLOOKUP(D182,Setup!$A$2:$B$60,2,FALSE),""))</f>
      </c>
      <c r="J182" s="7">
        <f>IF(I182="","",MIN(MAX(0,IF(G182="",H182,G182)),H182))</f>
      </c>
      <c r="K182" s="5">
        <f>IF(J182="","",J182/60)</f>
      </c>
      <c r="L182" s="5">
        <f>IF(J182="","",(H182-J182)/60)</f>
      </c>
      <c r="M182" s="5">
        <f>IF(I182="Y",K182,0)</f>
      </c>
      <c r="N182" s="3">
        <f>IF(I182="Y",MAX(0,N(F182)),0)</f>
      </c>
      <c r="O182" s="5">
        <f>IF(M182&gt;0,N182/M182,"")</f>
      </c>
    </row>
    <row r="183" spans="1:15" x14ac:dyDescent="0.25">
      <c r="A183" s="2">
        <v>46306</v>
      </c>
      <c r="B183" s="10">
        <v>0.9791666666666666</v>
      </c>
      <c r="C183" s="10">
        <v>0</v>
      </c>
      <c r="D183" s="11"/>
      <c r="E183" s="11"/>
      <c r="F183" s="11"/>
      <c r="G183" s="11"/>
      <c r="H183" s="11">
        <v>30</v>
      </c>
      <c r="I183" s="3">
        <f>IF(D183="","",IFERROR(VLOOKUP(D183,Setup!$A$2:$B$60,2,FALSE),""))</f>
      </c>
      <c r="J183" s="7">
        <f>IF(I183="","",MIN(MAX(0,IF(G183="",H183,G183)),H183))</f>
      </c>
      <c r="K183" s="5">
        <f>IF(J183="","",J183/60)</f>
      </c>
      <c r="L183" s="5">
        <f>IF(J183="","",(H183-J183)/60)</f>
      </c>
      <c r="M183" s="5">
        <f>IF(I183="Y",K183,0)</f>
      </c>
      <c r="N183" s="3">
        <f>IF(I183="Y",MAX(0,N(F183)),0)</f>
      </c>
      <c r="O183" s="5">
        <f>IF(M183&gt;0,N183/M183,"")</f>
      </c>
    </row>
    <row r="184" spans="1:15" x14ac:dyDescent="0.25">
      <c r="A184" s="2">
        <v>46306</v>
      </c>
      <c r="B184" s="10">
        <v>0</v>
      </c>
      <c r="C184" s="10">
        <v>0.020833333333333332</v>
      </c>
      <c r="D184" s="11"/>
      <c r="E184" s="11"/>
      <c r="F184" s="11"/>
      <c r="G184" s="11"/>
      <c r="H184" s="11">
        <v>30</v>
      </c>
      <c r="I184" s="3">
        <f>IF(D184="","",IFERROR(VLOOKUP(D184,Setup!$A$2:$B$60,2,FALSE),""))</f>
      </c>
      <c r="J184" s="7">
        <f>IF(I184="","",MIN(MAX(0,IF(G184="",H184,G184)),H184))</f>
      </c>
      <c r="K184" s="5">
        <f>IF(J184="","",J184/60)</f>
      </c>
      <c r="L184" s="5">
        <f>IF(J184="","",(H184-J184)/60)</f>
      </c>
      <c r="M184" s="5">
        <f>IF(I184="Y",K184,0)</f>
      </c>
      <c r="N184" s="3">
        <f>IF(I184="Y",MAX(0,N(F184)),0)</f>
      </c>
      <c r="O184" s="5">
        <f>IF(M184&gt;0,N184/M184,"")</f>
      </c>
    </row>
    <row r="185" spans="1:15" x14ac:dyDescent="0.25">
      <c r="A185" s="2">
        <v>46306</v>
      </c>
      <c r="B185" s="10">
        <v>0.020833333333333332</v>
      </c>
      <c r="C185" s="10">
        <v>0.041666666666666664</v>
      </c>
      <c r="D185" s="11"/>
      <c r="E185" s="11"/>
      <c r="F185" s="11"/>
      <c r="G185" s="11"/>
      <c r="H185" s="11">
        <v>30</v>
      </c>
      <c r="I185" s="3">
        <f>IF(D185="","",IFERROR(VLOOKUP(D185,Setup!$A$2:$B$60,2,FALSE),""))</f>
      </c>
      <c r="J185" s="7">
        <f>IF(I185="","",MIN(MAX(0,IF(G185="",H185,G185)),H185))</f>
      </c>
      <c r="K185" s="5">
        <f>IF(J185="","",J185/60)</f>
      </c>
      <c r="L185" s="5">
        <f>IF(J185="","",(H185-J185)/60)</f>
      </c>
      <c r="M185" s="5">
        <f>IF(I185="Y",K185,0)</f>
      </c>
      <c r="N185" s="3">
        <f>IF(I185="Y",MAX(0,N(F185)),0)</f>
      </c>
      <c r="O185" s="5">
        <f>IF(M185&gt;0,N185/M185,"")</f>
      </c>
    </row>
    <row r="186" spans="1:15" x14ac:dyDescent="0.25">
      <c r="A186" s="2">
        <v>46306</v>
      </c>
      <c r="B186" s="10">
        <v>0.041666666666666664</v>
      </c>
      <c r="C186" s="10">
        <v>0.0625</v>
      </c>
      <c r="D186" s="11"/>
      <c r="E186" s="11"/>
      <c r="F186" s="11"/>
      <c r="G186" s="11"/>
      <c r="H186" s="11">
        <v>30</v>
      </c>
      <c r="I186" s="3">
        <f>IF(D186="","",IFERROR(VLOOKUP(D186,Setup!$A$2:$B$60,2,FALSE),""))</f>
      </c>
      <c r="J186" s="7">
        <f>IF(I186="","",MIN(MAX(0,IF(G186="",H186,G186)),H186))</f>
      </c>
      <c r="K186" s="5">
        <f>IF(J186="","",J186/60)</f>
      </c>
      <c r="L186" s="5">
        <f>IF(J186="","",(H186-J186)/60)</f>
      </c>
      <c r="M186" s="5">
        <f>IF(I186="Y",K186,0)</f>
      </c>
      <c r="N186" s="3">
        <f>IF(I186="Y",MAX(0,N(F186)),0)</f>
      </c>
      <c r="O186" s="5">
        <f>IF(M186&gt;0,N186/M186,"")</f>
      </c>
    </row>
    <row r="187" spans="1:15" x14ac:dyDescent="0.25">
      <c r="A187" s="2">
        <v>46306</v>
      </c>
      <c r="B187" s="10">
        <v>0.0625</v>
      </c>
      <c r="C187" s="10">
        <v>0.08333333333333333</v>
      </c>
      <c r="D187" s="11"/>
      <c r="E187" s="11"/>
      <c r="F187" s="11"/>
      <c r="G187" s="11"/>
      <c r="H187" s="11">
        <v>30</v>
      </c>
      <c r="I187" s="3">
        <f>IF(D187="","",IFERROR(VLOOKUP(D187,Setup!$A$2:$B$60,2,FALSE),""))</f>
      </c>
      <c r="J187" s="7">
        <f>IF(I187="","",MIN(MAX(0,IF(G187="",H187,G187)),H187))</f>
      </c>
      <c r="K187" s="5">
        <f>IF(J187="","",J187/60)</f>
      </c>
      <c r="L187" s="5">
        <f>IF(J187="","",(H187-J187)/60)</f>
      </c>
      <c r="M187" s="5">
        <f>IF(I187="Y",K187,0)</f>
      </c>
      <c r="N187" s="3">
        <f>IF(I187="Y",MAX(0,N(F187)),0)</f>
      </c>
      <c r="O187" s="5">
        <f>IF(M187&gt;0,N187/M187,"")</f>
      </c>
    </row>
    <row r="188" spans="1:15" x14ac:dyDescent="0.25">
      <c r="A188" s="2">
        <v>46306</v>
      </c>
      <c r="B188" s="10">
        <v>0.08333333333333333</v>
      </c>
      <c r="C188" s="10">
        <v>0.10416666666666667</v>
      </c>
      <c r="D188" s="11"/>
      <c r="E188" s="11"/>
      <c r="F188" s="11"/>
      <c r="G188" s="11"/>
      <c r="H188" s="11">
        <v>30</v>
      </c>
      <c r="I188" s="3">
        <f>IF(D188="","",IFERROR(VLOOKUP(D188,Setup!$A$2:$B$60,2,FALSE),""))</f>
      </c>
      <c r="J188" s="7">
        <f>IF(I188="","",MIN(MAX(0,IF(G188="",H188,G188)),H188))</f>
      </c>
      <c r="K188" s="5">
        <f>IF(J188="","",J188/60)</f>
      </c>
      <c r="L188" s="5">
        <f>IF(J188="","",(H188-J188)/60)</f>
      </c>
      <c r="M188" s="5">
        <f>IF(I188="Y",K188,0)</f>
      </c>
      <c r="N188" s="3">
        <f>IF(I188="Y",MAX(0,N(F188)),0)</f>
      </c>
      <c r="O188" s="5">
        <f>IF(M188&gt;0,N188/M188,"")</f>
      </c>
    </row>
    <row r="189" spans="1:15" x14ac:dyDescent="0.25">
      <c r="A189" s="2">
        <v>46306</v>
      </c>
      <c r="B189" s="10">
        <v>0.10416666666666667</v>
      </c>
      <c r="C189" s="10">
        <v>0.125</v>
      </c>
      <c r="D189" s="11"/>
      <c r="E189" s="11"/>
      <c r="F189" s="11"/>
      <c r="G189" s="11"/>
      <c r="H189" s="11">
        <v>30</v>
      </c>
      <c r="I189" s="3">
        <f>IF(D189="","",IFERROR(VLOOKUP(D189,Setup!$A$2:$B$60,2,FALSE),""))</f>
      </c>
      <c r="J189" s="7">
        <f>IF(I189="","",MIN(MAX(0,IF(G189="",H189,G189)),H189))</f>
      </c>
      <c r="K189" s="5">
        <f>IF(J189="","",J189/60)</f>
      </c>
      <c r="L189" s="5">
        <f>IF(J189="","",(H189-J189)/60)</f>
      </c>
      <c r="M189" s="5">
        <f>IF(I189="Y",K189,0)</f>
      </c>
      <c r="N189" s="3">
        <f>IF(I189="Y",MAX(0,N(F189)),0)</f>
      </c>
      <c r="O189" s="5">
        <f>IF(M189&gt;0,N189/M189,"")</f>
      </c>
    </row>
    <row r="190" spans="1:15" x14ac:dyDescent="0.25">
      <c r="A190" s="2">
        <v>46306</v>
      </c>
      <c r="B190" s="10">
        <v>0.125</v>
      </c>
      <c r="C190" s="10">
        <v>0.14583333333333334</v>
      </c>
      <c r="D190" s="11"/>
      <c r="E190" s="11"/>
      <c r="F190" s="11"/>
      <c r="G190" s="11"/>
      <c r="H190" s="11">
        <v>30</v>
      </c>
      <c r="I190" s="3">
        <f>IF(D190="","",IFERROR(VLOOKUP(D190,Setup!$A$2:$B$60,2,FALSE),""))</f>
      </c>
      <c r="J190" s="7">
        <f>IF(I190="","",MIN(MAX(0,IF(G190="",H190,G190)),H190))</f>
      </c>
      <c r="K190" s="5">
        <f>IF(J190="","",J190/60)</f>
      </c>
      <c r="L190" s="5">
        <f>IF(J190="","",(H190-J190)/60)</f>
      </c>
      <c r="M190" s="5">
        <f>IF(I190="Y",K190,0)</f>
      </c>
      <c r="N190" s="3">
        <f>IF(I190="Y",MAX(0,N(F190)),0)</f>
      </c>
      <c r="O190" s="5">
        <f>IF(M190&gt;0,N190/M190,"")</f>
      </c>
    </row>
    <row r="191" spans="1:15" x14ac:dyDescent="0.25">
      <c r="A191" s="2">
        <v>46306</v>
      </c>
      <c r="B191" s="10">
        <v>0.14583333333333334</v>
      </c>
      <c r="C191" s="10">
        <v>0.16666666666666666</v>
      </c>
      <c r="D191" s="11"/>
      <c r="E191" s="11"/>
      <c r="F191" s="11"/>
      <c r="G191" s="11"/>
      <c r="H191" s="11">
        <v>30</v>
      </c>
      <c r="I191" s="3">
        <f>IF(D191="","",IFERROR(VLOOKUP(D191,Setup!$A$2:$B$60,2,FALSE),""))</f>
      </c>
      <c r="J191" s="7">
        <f>IF(I191="","",MIN(MAX(0,IF(G191="",H191,G191)),H191))</f>
      </c>
      <c r="K191" s="5">
        <f>IF(J191="","",J191/60)</f>
      </c>
      <c r="L191" s="5">
        <f>IF(J191="","",(H191-J191)/60)</f>
      </c>
      <c r="M191" s="5">
        <f>IF(I191="Y",K191,0)</f>
      </c>
      <c r="N191" s="3">
        <f>IF(I191="Y",MAX(0,N(F191)),0)</f>
      </c>
      <c r="O191" s="5">
        <f>IF(M191&gt;0,N191/M191,"")</f>
      </c>
    </row>
    <row r="192" spans="1:15" x14ac:dyDescent="0.25">
      <c r="A192" s="2">
        <v>46306</v>
      </c>
      <c r="B192" s="10">
        <v>0.16666666666666666</v>
      </c>
      <c r="C192" s="10">
        <v>0.1875</v>
      </c>
      <c r="D192" s="11"/>
      <c r="E192" s="11"/>
      <c r="F192" s="11"/>
      <c r="G192" s="11"/>
      <c r="H192" s="11">
        <v>30</v>
      </c>
      <c r="I192" s="3">
        <f>IF(D192="","",IFERROR(VLOOKUP(D192,Setup!$A$2:$B$60,2,FALSE),""))</f>
      </c>
      <c r="J192" s="7">
        <f>IF(I192="","",MIN(MAX(0,IF(G192="",H192,G192)),H192))</f>
      </c>
      <c r="K192" s="5">
        <f>IF(J192="","",J192/60)</f>
      </c>
      <c r="L192" s="5">
        <f>IF(J192="","",(H192-J192)/60)</f>
      </c>
      <c r="M192" s="5">
        <f>IF(I192="Y",K192,0)</f>
      </c>
      <c r="N192" s="3">
        <f>IF(I192="Y",MAX(0,N(F192)),0)</f>
      </c>
      <c r="O192" s="5">
        <f>IF(M192&gt;0,N192/M192,"")</f>
      </c>
    </row>
    <row r="193" spans="1:15" x14ac:dyDescent="0.25">
      <c r="A193" s="2">
        <v>46306</v>
      </c>
      <c r="B193" s="10">
        <v>0.1875</v>
      </c>
      <c r="C193" s="10">
        <v>0.20833333333333334</v>
      </c>
      <c r="D193" s="11"/>
      <c r="E193" s="11"/>
      <c r="F193" s="11"/>
      <c r="G193" s="11"/>
      <c r="H193" s="11">
        <v>30</v>
      </c>
      <c r="I193" s="3">
        <f>IF(D193="","",IFERROR(VLOOKUP(D193,Setup!$A$2:$B$60,2,FALSE),""))</f>
      </c>
      <c r="J193" s="7">
        <f>IF(I193="","",MIN(MAX(0,IF(G193="",H193,G193)),H193))</f>
      </c>
      <c r="K193" s="5">
        <f>IF(J193="","",J193/60)</f>
      </c>
      <c r="L193" s="5">
        <f>IF(J193="","",(H193-J193)/60)</f>
      </c>
      <c r="M193" s="5">
        <f>IF(I193="Y",K193,0)</f>
      </c>
      <c r="N193" s="3">
        <f>IF(I193="Y",MAX(0,N(F193)),0)</f>
      </c>
      <c r="O193" s="5">
        <f>IF(M193&gt;0,N193/M193,"")</f>
      </c>
    </row>
    <row r="194" spans="1:15" x14ac:dyDescent="0.25">
      <c r="A194" s="2">
        <v>46306</v>
      </c>
      <c r="B194" s="10">
        <v>0.20833333333333334</v>
      </c>
      <c r="C194" s="10">
        <v>0.22916666666666666</v>
      </c>
      <c r="D194" s="11"/>
      <c r="E194" s="11"/>
      <c r="F194" s="11"/>
      <c r="G194" s="11"/>
      <c r="H194" s="11">
        <v>30</v>
      </c>
      <c r="I194" s="3">
        <f>IF(D194="","",IFERROR(VLOOKUP(D194,Setup!$A$2:$B$60,2,FALSE),""))</f>
      </c>
      <c r="J194" s="7">
        <f>IF(I194="","",MIN(MAX(0,IF(G194="",H194,G194)),H194))</f>
      </c>
      <c r="K194" s="5">
        <f>IF(J194="","",J194/60)</f>
      </c>
      <c r="L194" s="5">
        <f>IF(J194="","",(H194-J194)/60)</f>
      </c>
      <c r="M194" s="5">
        <f>IF(I194="Y",K194,0)</f>
      </c>
      <c r="N194" s="3">
        <f>IF(I194="Y",MAX(0,N(F194)),0)</f>
      </c>
      <c r="O194" s="5">
        <f>IF(M194&gt;0,N194/M194,"")</f>
      </c>
    </row>
    <row r="195" spans="1:15" x14ac:dyDescent="0.25">
      <c r="A195" s="2">
        <v>46306</v>
      </c>
      <c r="B195" s="10">
        <v>0.22916666666666666</v>
      </c>
      <c r="C195" s="10">
        <v>0.25</v>
      </c>
      <c r="D195" s="11"/>
      <c r="E195" s="11"/>
      <c r="F195" s="11"/>
      <c r="G195" s="11"/>
      <c r="H195" s="11">
        <v>30</v>
      </c>
      <c r="I195" s="3">
        <f>IF(D195="","",IFERROR(VLOOKUP(D195,Setup!$A$2:$B$60,2,FALSE),""))</f>
      </c>
      <c r="J195" s="7">
        <f>IF(I195="","",MIN(MAX(0,IF(G195="",H195,G195)),H195))</f>
      </c>
      <c r="K195" s="5">
        <f>IF(J195="","",J195/60)</f>
      </c>
      <c r="L195" s="5">
        <f>IF(J195="","",(H195-J195)/60)</f>
      </c>
      <c r="M195" s="5">
        <f>IF(I195="Y",K195,0)</f>
      </c>
      <c r="N195" s="3">
        <f>IF(I195="Y",MAX(0,N(F195)),0)</f>
      </c>
      <c r="O195" s="5">
        <f>IF(M195&gt;0,N195/M195,"")</f>
      </c>
    </row>
    <row r="196" spans="1:15" x14ac:dyDescent="0.25">
      <c r="A196" s="2">
        <v>46306</v>
      </c>
      <c r="B196" s="10">
        <v>0.25</v>
      </c>
      <c r="C196" s="10">
        <v>0.2708333333333333</v>
      </c>
      <c r="D196" s="11"/>
      <c r="E196" s="11"/>
      <c r="F196" s="11"/>
      <c r="G196" s="11"/>
      <c r="H196" s="11">
        <v>30</v>
      </c>
      <c r="I196" s="3">
        <f>IF(D196="","",IFERROR(VLOOKUP(D196,Setup!$A$2:$B$60,2,FALSE),""))</f>
      </c>
      <c r="J196" s="7">
        <f>IF(I196="","",MIN(MAX(0,IF(G196="",H196,G196)),H196))</f>
      </c>
      <c r="K196" s="5">
        <f>IF(J196="","",J196/60)</f>
      </c>
      <c r="L196" s="5">
        <f>IF(J196="","",(H196-J196)/60)</f>
      </c>
      <c r="M196" s="5">
        <f>IF(I196="Y",K196,0)</f>
      </c>
      <c r="N196" s="3">
        <f>IF(I196="Y",MAX(0,N(F196)),0)</f>
      </c>
      <c r="O196" s="5">
        <f>IF(M196&gt;0,N196/M196,"")</f>
      </c>
    </row>
    <row r="197" spans="1:15" x14ac:dyDescent="0.25">
      <c r="A197" s="2">
        <v>46306</v>
      </c>
      <c r="B197" s="10">
        <v>0.2708333333333333</v>
      </c>
      <c r="C197" s="10">
        <v>0.2916666666666667</v>
      </c>
      <c r="D197" s="11"/>
      <c r="E197" s="11"/>
      <c r="F197" s="11"/>
      <c r="G197" s="11"/>
      <c r="H197" s="11">
        <v>30</v>
      </c>
      <c r="I197" s="3">
        <f>IF(D197="","",IFERROR(VLOOKUP(D197,Setup!$A$2:$B$60,2,FALSE),""))</f>
      </c>
      <c r="J197" s="7">
        <f>IF(I197="","",MIN(MAX(0,IF(G197="",H197,G197)),H197))</f>
      </c>
      <c r="K197" s="5">
        <f>IF(J197="","",J197/60)</f>
      </c>
      <c r="L197" s="5">
        <f>IF(J197="","",(H197-J197)/60)</f>
      </c>
      <c r="M197" s="5">
        <f>IF(I197="Y",K197,0)</f>
      </c>
      <c r="N197" s="3">
        <f>IF(I197="Y",MAX(0,N(F197)),0)</f>
      </c>
      <c r="O197" s="5">
        <f>IF(M197&gt;0,N197/M197,"")</f>
      </c>
    </row>
    <row r="198" spans="1:15" x14ac:dyDescent="0.25">
      <c r="A198" s="2">
        <v>46306</v>
      </c>
      <c r="B198" s="10">
        <v>0.2916666666666667</v>
      </c>
      <c r="C198" s="10">
        <v>0.3125</v>
      </c>
      <c r="D198" s="11"/>
      <c r="E198" s="11"/>
      <c r="F198" s="11"/>
      <c r="G198" s="11"/>
      <c r="H198" s="11">
        <v>30</v>
      </c>
      <c r="I198" s="3">
        <f>IF(D198="","",IFERROR(VLOOKUP(D198,Setup!$A$2:$B$60,2,FALSE),""))</f>
      </c>
      <c r="J198" s="7">
        <f>IF(I198="","",MIN(MAX(0,IF(G198="",H198,G198)),H198))</f>
      </c>
      <c r="K198" s="5">
        <f>IF(J198="","",J198/60)</f>
      </c>
      <c r="L198" s="5">
        <f>IF(J198="","",(H198-J198)/60)</f>
      </c>
      <c r="M198" s="5">
        <f>IF(I198="Y",K198,0)</f>
      </c>
      <c r="N198" s="3">
        <f>IF(I198="Y",MAX(0,N(F198)),0)</f>
      </c>
      <c r="O198" s="5">
        <f>IF(M198&gt;0,N198/M198,"")</f>
      </c>
    </row>
    <row r="199" spans="1:15" x14ac:dyDescent="0.25">
      <c r="A199" s="2">
        <v>46306</v>
      </c>
      <c r="B199" s="10">
        <v>0.3125</v>
      </c>
      <c r="C199" s="10">
        <v>0.3333333333333333</v>
      </c>
      <c r="D199" s="11"/>
      <c r="E199" s="11"/>
      <c r="F199" s="11"/>
      <c r="G199" s="11"/>
      <c r="H199" s="11">
        <v>30</v>
      </c>
      <c r="I199" s="3">
        <f>IF(D199="","",IFERROR(VLOOKUP(D199,Setup!$A$2:$B$60,2,FALSE),""))</f>
      </c>
      <c r="J199" s="7">
        <f>IF(I199="","",MIN(MAX(0,IF(G199="",H199,G199)),H199))</f>
      </c>
      <c r="K199" s="5">
        <f>IF(J199="","",J199/60)</f>
      </c>
      <c r="L199" s="5">
        <f>IF(J199="","",(H199-J199)/60)</f>
      </c>
      <c r="M199" s="5">
        <f>IF(I199="Y",K199,0)</f>
      </c>
      <c r="N199" s="3">
        <f>IF(I199="Y",MAX(0,N(F199)),0)</f>
      </c>
      <c r="O199" s="5">
        <f>IF(M199&gt;0,N199/M199,"")</f>
      </c>
    </row>
    <row r="200" spans="1:15" x14ac:dyDescent="0.25">
      <c r="A200" s="2">
        <v>46307</v>
      </c>
      <c r="B200" s="10">
        <v>0.9583333333333334</v>
      </c>
      <c r="C200" s="10">
        <v>0.9791666666666666</v>
      </c>
      <c r="D200" s="11"/>
      <c r="E200" s="11"/>
      <c r="F200" s="11"/>
      <c r="G200" s="11"/>
      <c r="H200" s="11">
        <v>30</v>
      </c>
      <c r="I200" s="3">
        <f>IF(D200="","",IFERROR(VLOOKUP(D200,Setup!$A$2:$B$60,2,FALSE),""))</f>
      </c>
      <c r="J200" s="7">
        <f>IF(I200="","",MIN(MAX(0,IF(G200="",H200,G200)),H200))</f>
      </c>
      <c r="K200" s="5">
        <f>IF(J200="","",J200/60)</f>
      </c>
      <c r="L200" s="5">
        <f>IF(J200="","",(H200-J200)/60)</f>
      </c>
      <c r="M200" s="5">
        <f>IF(I200="Y",K200,0)</f>
      </c>
      <c r="N200" s="3">
        <f>IF(I200="Y",MAX(0,N(F200)),0)</f>
      </c>
      <c r="O200" s="5">
        <f>IF(M200&gt;0,N200/M200,"")</f>
      </c>
    </row>
    <row r="201" spans="1:15" x14ac:dyDescent="0.25">
      <c r="A201" s="2">
        <v>46307</v>
      </c>
      <c r="B201" s="10">
        <v>0.9791666666666666</v>
      </c>
      <c r="C201" s="10">
        <v>0</v>
      </c>
      <c r="D201" s="11"/>
      <c r="E201" s="11"/>
      <c r="F201" s="11"/>
      <c r="G201" s="11"/>
      <c r="H201" s="11">
        <v>30</v>
      </c>
      <c r="I201" s="3">
        <f>IF(D201="","",IFERROR(VLOOKUP(D201,Setup!$A$2:$B$60,2,FALSE),""))</f>
      </c>
      <c r="J201" s="7">
        <f>IF(I201="","",MIN(MAX(0,IF(G201="",H201,G201)),H201))</f>
      </c>
      <c r="K201" s="5">
        <f>IF(J201="","",J201/60)</f>
      </c>
      <c r="L201" s="5">
        <f>IF(J201="","",(H201-J201)/60)</f>
      </c>
      <c r="M201" s="5">
        <f>IF(I201="Y",K201,0)</f>
      </c>
      <c r="N201" s="3">
        <f>IF(I201="Y",MAX(0,N(F201)),0)</f>
      </c>
      <c r="O201" s="5">
        <f>IF(M201&gt;0,N201/M201,"")</f>
      </c>
    </row>
    <row r="202" spans="1:15" x14ac:dyDescent="0.25">
      <c r="A202" s="2">
        <v>46307</v>
      </c>
      <c r="B202" s="10">
        <v>0</v>
      </c>
      <c r="C202" s="10">
        <v>0.020833333333333332</v>
      </c>
      <c r="D202" s="11"/>
      <c r="E202" s="11"/>
      <c r="F202" s="11"/>
      <c r="G202" s="11"/>
      <c r="H202" s="11">
        <v>30</v>
      </c>
      <c r="I202" s="3">
        <f>IF(D202="","",IFERROR(VLOOKUP(D202,Setup!$A$2:$B$60,2,FALSE),""))</f>
      </c>
      <c r="J202" s="7">
        <f>IF(I202="","",MIN(MAX(0,IF(G202="",H202,G202)),H202))</f>
      </c>
      <c r="K202" s="5">
        <f>IF(J202="","",J202/60)</f>
      </c>
      <c r="L202" s="5">
        <f>IF(J202="","",(H202-J202)/60)</f>
      </c>
      <c r="M202" s="5">
        <f>IF(I202="Y",K202,0)</f>
      </c>
      <c r="N202" s="3">
        <f>IF(I202="Y",MAX(0,N(F202)),0)</f>
      </c>
      <c r="O202" s="5">
        <f>IF(M202&gt;0,N202/M202,"")</f>
      </c>
    </row>
    <row r="203" spans="1:15" x14ac:dyDescent="0.25">
      <c r="A203" s="2">
        <v>46307</v>
      </c>
      <c r="B203" s="10">
        <v>0.020833333333333332</v>
      </c>
      <c r="C203" s="10">
        <v>0.041666666666666664</v>
      </c>
      <c r="D203" s="11"/>
      <c r="E203" s="11"/>
      <c r="F203" s="11"/>
      <c r="G203" s="11"/>
      <c r="H203" s="11">
        <v>30</v>
      </c>
      <c r="I203" s="3">
        <f>IF(D203="","",IFERROR(VLOOKUP(D203,Setup!$A$2:$B$60,2,FALSE),""))</f>
      </c>
      <c r="J203" s="7">
        <f>IF(I203="","",MIN(MAX(0,IF(G203="",H203,G203)),H203))</f>
      </c>
      <c r="K203" s="5">
        <f>IF(J203="","",J203/60)</f>
      </c>
      <c r="L203" s="5">
        <f>IF(J203="","",(H203-J203)/60)</f>
      </c>
      <c r="M203" s="5">
        <f>IF(I203="Y",K203,0)</f>
      </c>
      <c r="N203" s="3">
        <f>IF(I203="Y",MAX(0,N(F203)),0)</f>
      </c>
      <c r="O203" s="5">
        <f>IF(M203&gt;0,N203/M203,"")</f>
      </c>
    </row>
    <row r="204" spans="1:15" x14ac:dyDescent="0.25">
      <c r="A204" s="2">
        <v>46307</v>
      </c>
      <c r="B204" s="10">
        <v>0.041666666666666664</v>
      </c>
      <c r="C204" s="10">
        <v>0.0625</v>
      </c>
      <c r="D204" s="11"/>
      <c r="E204" s="11"/>
      <c r="F204" s="11"/>
      <c r="G204" s="11"/>
      <c r="H204" s="11">
        <v>30</v>
      </c>
      <c r="I204" s="3">
        <f>IF(D204="","",IFERROR(VLOOKUP(D204,Setup!$A$2:$B$60,2,FALSE),""))</f>
      </c>
      <c r="J204" s="7">
        <f>IF(I204="","",MIN(MAX(0,IF(G204="",H204,G204)),H204))</f>
      </c>
      <c r="K204" s="5">
        <f>IF(J204="","",J204/60)</f>
      </c>
      <c r="L204" s="5">
        <f>IF(J204="","",(H204-J204)/60)</f>
      </c>
      <c r="M204" s="5">
        <f>IF(I204="Y",K204,0)</f>
      </c>
      <c r="N204" s="3">
        <f>IF(I204="Y",MAX(0,N(F204)),0)</f>
      </c>
      <c r="O204" s="5">
        <f>IF(M204&gt;0,N204/M204,"")</f>
      </c>
    </row>
    <row r="205" spans="1:15" x14ac:dyDescent="0.25">
      <c r="A205" s="2">
        <v>46307</v>
      </c>
      <c r="B205" s="10">
        <v>0.0625</v>
      </c>
      <c r="C205" s="10">
        <v>0.08333333333333333</v>
      </c>
      <c r="D205" s="11"/>
      <c r="E205" s="11"/>
      <c r="F205" s="11"/>
      <c r="G205" s="11"/>
      <c r="H205" s="11">
        <v>30</v>
      </c>
      <c r="I205" s="3">
        <f>IF(D205="","",IFERROR(VLOOKUP(D205,Setup!$A$2:$B$60,2,FALSE),""))</f>
      </c>
      <c r="J205" s="7">
        <f>IF(I205="","",MIN(MAX(0,IF(G205="",H205,G205)),H205))</f>
      </c>
      <c r="K205" s="5">
        <f>IF(J205="","",J205/60)</f>
      </c>
      <c r="L205" s="5">
        <f>IF(J205="","",(H205-J205)/60)</f>
      </c>
      <c r="M205" s="5">
        <f>IF(I205="Y",K205,0)</f>
      </c>
      <c r="N205" s="3">
        <f>IF(I205="Y",MAX(0,N(F205)),0)</f>
      </c>
      <c r="O205" s="5">
        <f>IF(M205&gt;0,N205/M205,"")</f>
      </c>
    </row>
    <row r="206" spans="1:15" x14ac:dyDescent="0.25">
      <c r="A206" s="2">
        <v>46307</v>
      </c>
      <c r="B206" s="10">
        <v>0.08333333333333333</v>
      </c>
      <c r="C206" s="10">
        <v>0.10416666666666667</v>
      </c>
      <c r="D206" s="11"/>
      <c r="E206" s="11"/>
      <c r="F206" s="11"/>
      <c r="G206" s="11"/>
      <c r="H206" s="11">
        <v>30</v>
      </c>
      <c r="I206" s="3">
        <f>IF(D206="","",IFERROR(VLOOKUP(D206,Setup!$A$2:$B$60,2,FALSE),""))</f>
      </c>
      <c r="J206" s="7">
        <f>IF(I206="","",MIN(MAX(0,IF(G206="",H206,G206)),H206))</f>
      </c>
      <c r="K206" s="5">
        <f>IF(J206="","",J206/60)</f>
      </c>
      <c r="L206" s="5">
        <f>IF(J206="","",(H206-J206)/60)</f>
      </c>
      <c r="M206" s="5">
        <f>IF(I206="Y",K206,0)</f>
      </c>
      <c r="N206" s="3">
        <f>IF(I206="Y",MAX(0,N(F206)),0)</f>
      </c>
      <c r="O206" s="5">
        <f>IF(M206&gt;0,N206/M206,"")</f>
      </c>
    </row>
    <row r="207" spans="1:15" x14ac:dyDescent="0.25">
      <c r="A207" s="2">
        <v>46307</v>
      </c>
      <c r="B207" s="10">
        <v>0.10416666666666667</v>
      </c>
      <c r="C207" s="10">
        <v>0.125</v>
      </c>
      <c r="D207" s="11"/>
      <c r="E207" s="11"/>
      <c r="F207" s="11"/>
      <c r="G207" s="11"/>
      <c r="H207" s="11">
        <v>30</v>
      </c>
      <c r="I207" s="3">
        <f>IF(D207="","",IFERROR(VLOOKUP(D207,Setup!$A$2:$B$60,2,FALSE),""))</f>
      </c>
      <c r="J207" s="7">
        <f>IF(I207="","",MIN(MAX(0,IF(G207="",H207,G207)),H207))</f>
      </c>
      <c r="K207" s="5">
        <f>IF(J207="","",J207/60)</f>
      </c>
      <c r="L207" s="5">
        <f>IF(J207="","",(H207-J207)/60)</f>
      </c>
      <c r="M207" s="5">
        <f>IF(I207="Y",K207,0)</f>
      </c>
      <c r="N207" s="3">
        <f>IF(I207="Y",MAX(0,N(F207)),0)</f>
      </c>
      <c r="O207" s="5">
        <f>IF(M207&gt;0,N207/M207,"")</f>
      </c>
    </row>
    <row r="208" spans="1:15" x14ac:dyDescent="0.25">
      <c r="A208" s="2">
        <v>46307</v>
      </c>
      <c r="B208" s="10">
        <v>0.125</v>
      </c>
      <c r="C208" s="10">
        <v>0.14583333333333334</v>
      </c>
      <c r="D208" s="11"/>
      <c r="E208" s="11"/>
      <c r="F208" s="11"/>
      <c r="G208" s="11"/>
      <c r="H208" s="11">
        <v>30</v>
      </c>
      <c r="I208" s="3">
        <f>IF(D208="","",IFERROR(VLOOKUP(D208,Setup!$A$2:$B$60,2,FALSE),""))</f>
      </c>
      <c r="J208" s="7">
        <f>IF(I208="","",MIN(MAX(0,IF(G208="",H208,G208)),H208))</f>
      </c>
      <c r="K208" s="5">
        <f>IF(J208="","",J208/60)</f>
      </c>
      <c r="L208" s="5">
        <f>IF(J208="","",(H208-J208)/60)</f>
      </c>
      <c r="M208" s="5">
        <f>IF(I208="Y",K208,0)</f>
      </c>
      <c r="N208" s="3">
        <f>IF(I208="Y",MAX(0,N(F208)),0)</f>
      </c>
      <c r="O208" s="5">
        <f>IF(M208&gt;0,N208/M208,"")</f>
      </c>
    </row>
    <row r="209" spans="1:15" x14ac:dyDescent="0.25">
      <c r="A209" s="2">
        <v>46307</v>
      </c>
      <c r="B209" s="10">
        <v>0.14583333333333334</v>
      </c>
      <c r="C209" s="10">
        <v>0.16666666666666666</v>
      </c>
      <c r="D209" s="11"/>
      <c r="E209" s="11"/>
      <c r="F209" s="11"/>
      <c r="G209" s="11"/>
      <c r="H209" s="11">
        <v>30</v>
      </c>
      <c r="I209" s="3">
        <f>IF(D209="","",IFERROR(VLOOKUP(D209,Setup!$A$2:$B$60,2,FALSE),""))</f>
      </c>
      <c r="J209" s="7">
        <f>IF(I209="","",MIN(MAX(0,IF(G209="",H209,G209)),H209))</f>
      </c>
      <c r="K209" s="5">
        <f>IF(J209="","",J209/60)</f>
      </c>
      <c r="L209" s="5">
        <f>IF(J209="","",(H209-J209)/60)</f>
      </c>
      <c r="M209" s="5">
        <f>IF(I209="Y",K209,0)</f>
      </c>
      <c r="N209" s="3">
        <f>IF(I209="Y",MAX(0,N(F209)),0)</f>
      </c>
      <c r="O209" s="5">
        <f>IF(M209&gt;0,N209/M209,"")</f>
      </c>
    </row>
    <row r="210" spans="1:15" x14ac:dyDescent="0.25">
      <c r="A210" s="2">
        <v>46307</v>
      </c>
      <c r="B210" s="10">
        <v>0.16666666666666666</v>
      </c>
      <c r="C210" s="10">
        <v>0.1875</v>
      </c>
      <c r="D210" s="11"/>
      <c r="E210" s="11"/>
      <c r="F210" s="11"/>
      <c r="G210" s="11"/>
      <c r="H210" s="11">
        <v>30</v>
      </c>
      <c r="I210" s="3">
        <f>IF(D210="","",IFERROR(VLOOKUP(D210,Setup!$A$2:$B$60,2,FALSE),""))</f>
      </c>
      <c r="J210" s="7">
        <f>IF(I210="","",MIN(MAX(0,IF(G210="",H210,G210)),H210))</f>
      </c>
      <c r="K210" s="5">
        <f>IF(J210="","",J210/60)</f>
      </c>
      <c r="L210" s="5">
        <f>IF(J210="","",(H210-J210)/60)</f>
      </c>
      <c r="M210" s="5">
        <f>IF(I210="Y",K210,0)</f>
      </c>
      <c r="N210" s="3">
        <f>IF(I210="Y",MAX(0,N(F210)),0)</f>
      </c>
      <c r="O210" s="5">
        <f>IF(M210&gt;0,N210/M210,"")</f>
      </c>
    </row>
    <row r="211" spans="1:15" x14ac:dyDescent="0.25">
      <c r="A211" s="2">
        <v>46307</v>
      </c>
      <c r="B211" s="10">
        <v>0.1875</v>
      </c>
      <c r="C211" s="10">
        <v>0.20833333333333334</v>
      </c>
      <c r="D211" s="11"/>
      <c r="E211" s="11"/>
      <c r="F211" s="11"/>
      <c r="G211" s="11"/>
      <c r="H211" s="11">
        <v>30</v>
      </c>
      <c r="I211" s="3">
        <f>IF(D211="","",IFERROR(VLOOKUP(D211,Setup!$A$2:$B$60,2,FALSE),""))</f>
      </c>
      <c r="J211" s="7">
        <f>IF(I211="","",MIN(MAX(0,IF(G211="",H211,G211)),H211))</f>
      </c>
      <c r="K211" s="5">
        <f>IF(J211="","",J211/60)</f>
      </c>
      <c r="L211" s="5">
        <f>IF(J211="","",(H211-J211)/60)</f>
      </c>
      <c r="M211" s="5">
        <f>IF(I211="Y",K211,0)</f>
      </c>
      <c r="N211" s="3">
        <f>IF(I211="Y",MAX(0,N(F211)),0)</f>
      </c>
      <c r="O211" s="5">
        <f>IF(M211&gt;0,N211/M211,"")</f>
      </c>
    </row>
    <row r="212" spans="1:15" x14ac:dyDescent="0.25">
      <c r="A212" s="2">
        <v>46307</v>
      </c>
      <c r="B212" s="10">
        <v>0.20833333333333334</v>
      </c>
      <c r="C212" s="10">
        <v>0.22916666666666666</v>
      </c>
      <c r="D212" s="11"/>
      <c r="E212" s="11"/>
      <c r="F212" s="11"/>
      <c r="G212" s="11"/>
      <c r="H212" s="11">
        <v>30</v>
      </c>
      <c r="I212" s="3">
        <f>IF(D212="","",IFERROR(VLOOKUP(D212,Setup!$A$2:$B$60,2,FALSE),""))</f>
      </c>
      <c r="J212" s="7">
        <f>IF(I212="","",MIN(MAX(0,IF(G212="",H212,G212)),H212))</f>
      </c>
      <c r="K212" s="5">
        <f>IF(J212="","",J212/60)</f>
      </c>
      <c r="L212" s="5">
        <f>IF(J212="","",(H212-J212)/60)</f>
      </c>
      <c r="M212" s="5">
        <f>IF(I212="Y",K212,0)</f>
      </c>
      <c r="N212" s="3">
        <f>IF(I212="Y",MAX(0,N(F212)),0)</f>
      </c>
      <c r="O212" s="5">
        <f>IF(M212&gt;0,N212/M212,"")</f>
      </c>
    </row>
    <row r="213" spans="1:15" x14ac:dyDescent="0.25">
      <c r="A213" s="2">
        <v>46307</v>
      </c>
      <c r="B213" s="10">
        <v>0.22916666666666666</v>
      </c>
      <c r="C213" s="10">
        <v>0.25</v>
      </c>
      <c r="D213" s="11"/>
      <c r="E213" s="11"/>
      <c r="F213" s="11"/>
      <c r="G213" s="11"/>
      <c r="H213" s="11">
        <v>30</v>
      </c>
      <c r="I213" s="3">
        <f>IF(D213="","",IFERROR(VLOOKUP(D213,Setup!$A$2:$B$60,2,FALSE),""))</f>
      </c>
      <c r="J213" s="7">
        <f>IF(I213="","",MIN(MAX(0,IF(G213="",H213,G213)),H213))</f>
      </c>
      <c r="K213" s="5">
        <f>IF(J213="","",J213/60)</f>
      </c>
      <c r="L213" s="5">
        <f>IF(J213="","",(H213-J213)/60)</f>
      </c>
      <c r="M213" s="5">
        <f>IF(I213="Y",K213,0)</f>
      </c>
      <c r="N213" s="3">
        <f>IF(I213="Y",MAX(0,N(F213)),0)</f>
      </c>
      <c r="O213" s="5">
        <f>IF(M213&gt;0,N213/M213,"")</f>
      </c>
    </row>
    <row r="214" spans="1:15" x14ac:dyDescent="0.25">
      <c r="A214" s="2">
        <v>46307</v>
      </c>
      <c r="B214" s="10">
        <v>0.25</v>
      </c>
      <c r="C214" s="10">
        <v>0.2708333333333333</v>
      </c>
      <c r="D214" s="11"/>
      <c r="E214" s="11"/>
      <c r="F214" s="11"/>
      <c r="G214" s="11"/>
      <c r="H214" s="11">
        <v>30</v>
      </c>
      <c r="I214" s="3">
        <f>IF(D214="","",IFERROR(VLOOKUP(D214,Setup!$A$2:$B$60,2,FALSE),""))</f>
      </c>
      <c r="J214" s="7">
        <f>IF(I214="","",MIN(MAX(0,IF(G214="",H214,G214)),H214))</f>
      </c>
      <c r="K214" s="5">
        <f>IF(J214="","",J214/60)</f>
      </c>
      <c r="L214" s="5">
        <f>IF(J214="","",(H214-J214)/60)</f>
      </c>
      <c r="M214" s="5">
        <f>IF(I214="Y",K214,0)</f>
      </c>
      <c r="N214" s="3">
        <f>IF(I214="Y",MAX(0,N(F214)),0)</f>
      </c>
      <c r="O214" s="5">
        <f>IF(M214&gt;0,N214/M214,"")</f>
      </c>
    </row>
    <row r="215" spans="1:15" x14ac:dyDescent="0.25">
      <c r="A215" s="2">
        <v>46307</v>
      </c>
      <c r="B215" s="10">
        <v>0.2708333333333333</v>
      </c>
      <c r="C215" s="10">
        <v>0.2916666666666667</v>
      </c>
      <c r="D215" s="11"/>
      <c r="E215" s="11"/>
      <c r="F215" s="11"/>
      <c r="G215" s="11"/>
      <c r="H215" s="11">
        <v>30</v>
      </c>
      <c r="I215" s="3">
        <f>IF(D215="","",IFERROR(VLOOKUP(D215,Setup!$A$2:$B$60,2,FALSE),""))</f>
      </c>
      <c r="J215" s="7">
        <f>IF(I215="","",MIN(MAX(0,IF(G215="",H215,G215)),H215))</f>
      </c>
      <c r="K215" s="5">
        <f>IF(J215="","",J215/60)</f>
      </c>
      <c r="L215" s="5">
        <f>IF(J215="","",(H215-J215)/60)</f>
      </c>
      <c r="M215" s="5">
        <f>IF(I215="Y",K215,0)</f>
      </c>
      <c r="N215" s="3">
        <f>IF(I215="Y",MAX(0,N(F215)),0)</f>
      </c>
      <c r="O215" s="5">
        <f>IF(M215&gt;0,N215/M215,"")</f>
      </c>
    </row>
    <row r="216" spans="1:15" x14ac:dyDescent="0.25">
      <c r="A216" s="2">
        <v>46307</v>
      </c>
      <c r="B216" s="10">
        <v>0.2916666666666667</v>
      </c>
      <c r="C216" s="10">
        <v>0.3125</v>
      </c>
      <c r="D216" s="11"/>
      <c r="E216" s="11"/>
      <c r="F216" s="11"/>
      <c r="G216" s="11"/>
      <c r="H216" s="11">
        <v>30</v>
      </c>
      <c r="I216" s="3">
        <f>IF(D216="","",IFERROR(VLOOKUP(D216,Setup!$A$2:$B$60,2,FALSE),""))</f>
      </c>
      <c r="J216" s="7">
        <f>IF(I216="","",MIN(MAX(0,IF(G216="",H216,G216)),H216))</f>
      </c>
      <c r="K216" s="5">
        <f>IF(J216="","",J216/60)</f>
      </c>
      <c r="L216" s="5">
        <f>IF(J216="","",(H216-J216)/60)</f>
      </c>
      <c r="M216" s="5">
        <f>IF(I216="Y",K216,0)</f>
      </c>
      <c r="N216" s="3">
        <f>IF(I216="Y",MAX(0,N(F216)),0)</f>
      </c>
      <c r="O216" s="5">
        <f>IF(M216&gt;0,N216/M216,"")</f>
      </c>
    </row>
    <row r="217" spans="1:15" x14ac:dyDescent="0.25">
      <c r="A217" s="2">
        <v>46307</v>
      </c>
      <c r="B217" s="10">
        <v>0.3125</v>
      </c>
      <c r="C217" s="10">
        <v>0.3333333333333333</v>
      </c>
      <c r="D217" s="11"/>
      <c r="E217" s="11"/>
      <c r="F217" s="11"/>
      <c r="G217" s="11"/>
      <c r="H217" s="11">
        <v>30</v>
      </c>
      <c r="I217" s="3">
        <f>IF(D217="","",IFERROR(VLOOKUP(D217,Setup!$A$2:$B$60,2,FALSE),""))</f>
      </c>
      <c r="J217" s="7">
        <f>IF(I217="","",MIN(MAX(0,IF(G217="",H217,G217)),H217))</f>
      </c>
      <c r="K217" s="5">
        <f>IF(J217="","",J217/60)</f>
      </c>
      <c r="L217" s="5">
        <f>IF(J217="","",(H217-J217)/60)</f>
      </c>
      <c r="M217" s="5">
        <f>IF(I217="Y",K217,0)</f>
      </c>
      <c r="N217" s="3">
        <f>IF(I217="Y",MAX(0,N(F217)),0)</f>
      </c>
      <c r="O217" s="5">
        <f>IF(M217&gt;0,N217/M217,"")</f>
      </c>
    </row>
    <row r="218" spans="1:15" x14ac:dyDescent="0.25">
      <c r="A218" s="2">
        <v>46308</v>
      </c>
      <c r="B218" s="10">
        <v>0.9583333333333334</v>
      </c>
      <c r="C218" s="10">
        <v>0.9791666666666666</v>
      </c>
      <c r="D218" s="11"/>
      <c r="E218" s="11"/>
      <c r="F218" s="11"/>
      <c r="G218" s="11"/>
      <c r="H218" s="11">
        <v>30</v>
      </c>
      <c r="I218" s="3">
        <f>IF(D218="","",IFERROR(VLOOKUP(D218,Setup!$A$2:$B$60,2,FALSE),""))</f>
      </c>
      <c r="J218" s="7">
        <f>IF(I218="","",MIN(MAX(0,IF(G218="",H218,G218)),H218))</f>
      </c>
      <c r="K218" s="5">
        <f>IF(J218="","",J218/60)</f>
      </c>
      <c r="L218" s="5">
        <f>IF(J218="","",(H218-J218)/60)</f>
      </c>
      <c r="M218" s="5">
        <f>IF(I218="Y",K218,0)</f>
      </c>
      <c r="N218" s="3">
        <f>IF(I218="Y",MAX(0,N(F218)),0)</f>
      </c>
      <c r="O218" s="5">
        <f>IF(M218&gt;0,N218/M218,"")</f>
      </c>
    </row>
    <row r="219" spans="1:15" x14ac:dyDescent="0.25">
      <c r="A219" s="2">
        <v>46308</v>
      </c>
      <c r="B219" s="10">
        <v>0.9791666666666666</v>
      </c>
      <c r="C219" s="10">
        <v>0</v>
      </c>
      <c r="D219" s="11"/>
      <c r="E219" s="11"/>
      <c r="F219" s="11"/>
      <c r="G219" s="11"/>
      <c r="H219" s="11">
        <v>30</v>
      </c>
      <c r="I219" s="3">
        <f>IF(D219="","",IFERROR(VLOOKUP(D219,Setup!$A$2:$B$60,2,FALSE),""))</f>
      </c>
      <c r="J219" s="7">
        <f>IF(I219="","",MIN(MAX(0,IF(G219="",H219,G219)),H219))</f>
      </c>
      <c r="K219" s="5">
        <f>IF(J219="","",J219/60)</f>
      </c>
      <c r="L219" s="5">
        <f>IF(J219="","",(H219-J219)/60)</f>
      </c>
      <c r="M219" s="5">
        <f>IF(I219="Y",K219,0)</f>
      </c>
      <c r="N219" s="3">
        <f>IF(I219="Y",MAX(0,N(F219)),0)</f>
      </c>
      <c r="O219" s="5">
        <f>IF(M219&gt;0,N219/M219,"")</f>
      </c>
    </row>
    <row r="220" spans="1:15" x14ac:dyDescent="0.25">
      <c r="A220" s="2">
        <v>46308</v>
      </c>
      <c r="B220" s="10">
        <v>0</v>
      </c>
      <c r="C220" s="10">
        <v>0.020833333333333332</v>
      </c>
      <c r="D220" s="11"/>
      <c r="E220" s="11"/>
      <c r="F220" s="11"/>
      <c r="G220" s="11"/>
      <c r="H220" s="11">
        <v>30</v>
      </c>
      <c r="I220" s="3">
        <f>IF(D220="","",IFERROR(VLOOKUP(D220,Setup!$A$2:$B$60,2,FALSE),""))</f>
      </c>
      <c r="J220" s="7">
        <f>IF(I220="","",MIN(MAX(0,IF(G220="",H220,G220)),H220))</f>
      </c>
      <c r="K220" s="5">
        <f>IF(J220="","",J220/60)</f>
      </c>
      <c r="L220" s="5">
        <f>IF(J220="","",(H220-J220)/60)</f>
      </c>
      <c r="M220" s="5">
        <f>IF(I220="Y",K220,0)</f>
      </c>
      <c r="N220" s="3">
        <f>IF(I220="Y",MAX(0,N(F220)),0)</f>
      </c>
      <c r="O220" s="5">
        <f>IF(M220&gt;0,N220/M220,"")</f>
      </c>
    </row>
    <row r="221" spans="1:15" x14ac:dyDescent="0.25">
      <c r="A221" s="2">
        <v>46308</v>
      </c>
      <c r="B221" s="10">
        <v>0.020833333333333332</v>
      </c>
      <c r="C221" s="10">
        <v>0.041666666666666664</v>
      </c>
      <c r="D221" s="11"/>
      <c r="E221" s="11"/>
      <c r="F221" s="11"/>
      <c r="G221" s="11"/>
      <c r="H221" s="11">
        <v>30</v>
      </c>
      <c r="I221" s="3">
        <f>IF(D221="","",IFERROR(VLOOKUP(D221,Setup!$A$2:$B$60,2,FALSE),""))</f>
      </c>
      <c r="J221" s="7">
        <f>IF(I221="","",MIN(MAX(0,IF(G221="",H221,G221)),H221))</f>
      </c>
      <c r="K221" s="5">
        <f>IF(J221="","",J221/60)</f>
      </c>
      <c r="L221" s="5">
        <f>IF(J221="","",(H221-J221)/60)</f>
      </c>
      <c r="M221" s="5">
        <f>IF(I221="Y",K221,0)</f>
      </c>
      <c r="N221" s="3">
        <f>IF(I221="Y",MAX(0,N(F221)),0)</f>
      </c>
      <c r="O221" s="5">
        <f>IF(M221&gt;0,N221/M221,"")</f>
      </c>
    </row>
    <row r="222" spans="1:15" x14ac:dyDescent="0.25">
      <c r="A222" s="2">
        <v>46308</v>
      </c>
      <c r="B222" s="10">
        <v>0.041666666666666664</v>
      </c>
      <c r="C222" s="10">
        <v>0.0625</v>
      </c>
      <c r="D222" s="11"/>
      <c r="E222" s="11"/>
      <c r="F222" s="11"/>
      <c r="G222" s="11"/>
      <c r="H222" s="11">
        <v>30</v>
      </c>
      <c r="I222" s="3">
        <f>IF(D222="","",IFERROR(VLOOKUP(D222,Setup!$A$2:$B$60,2,FALSE),""))</f>
      </c>
      <c r="J222" s="7">
        <f>IF(I222="","",MIN(MAX(0,IF(G222="",H222,G222)),H222))</f>
      </c>
      <c r="K222" s="5">
        <f>IF(J222="","",J222/60)</f>
      </c>
      <c r="L222" s="5">
        <f>IF(J222="","",(H222-J222)/60)</f>
      </c>
      <c r="M222" s="5">
        <f>IF(I222="Y",K222,0)</f>
      </c>
      <c r="N222" s="3">
        <f>IF(I222="Y",MAX(0,N(F222)),0)</f>
      </c>
      <c r="O222" s="5">
        <f>IF(M222&gt;0,N222/M222,"")</f>
      </c>
    </row>
    <row r="223" spans="1:15" x14ac:dyDescent="0.25">
      <c r="A223" s="2">
        <v>46308</v>
      </c>
      <c r="B223" s="10">
        <v>0.0625</v>
      </c>
      <c r="C223" s="10">
        <v>0.08333333333333333</v>
      </c>
      <c r="D223" s="11"/>
      <c r="E223" s="11"/>
      <c r="F223" s="11"/>
      <c r="G223" s="11"/>
      <c r="H223" s="11">
        <v>30</v>
      </c>
      <c r="I223" s="3">
        <f>IF(D223="","",IFERROR(VLOOKUP(D223,Setup!$A$2:$B$60,2,FALSE),""))</f>
      </c>
      <c r="J223" s="7">
        <f>IF(I223="","",MIN(MAX(0,IF(G223="",H223,G223)),H223))</f>
      </c>
      <c r="K223" s="5">
        <f>IF(J223="","",J223/60)</f>
      </c>
      <c r="L223" s="5">
        <f>IF(J223="","",(H223-J223)/60)</f>
      </c>
      <c r="M223" s="5">
        <f>IF(I223="Y",K223,0)</f>
      </c>
      <c r="N223" s="3">
        <f>IF(I223="Y",MAX(0,N(F223)),0)</f>
      </c>
      <c r="O223" s="5">
        <f>IF(M223&gt;0,N223/M223,"")</f>
      </c>
    </row>
    <row r="224" spans="1:15" x14ac:dyDescent="0.25">
      <c r="A224" s="2">
        <v>46308</v>
      </c>
      <c r="B224" s="10">
        <v>0.08333333333333333</v>
      </c>
      <c r="C224" s="10">
        <v>0.10416666666666667</v>
      </c>
      <c r="D224" s="11"/>
      <c r="E224" s="11"/>
      <c r="F224" s="11"/>
      <c r="G224" s="11"/>
      <c r="H224" s="11">
        <v>30</v>
      </c>
      <c r="I224" s="3">
        <f>IF(D224="","",IFERROR(VLOOKUP(D224,Setup!$A$2:$B$60,2,FALSE),""))</f>
      </c>
      <c r="J224" s="7">
        <f>IF(I224="","",MIN(MAX(0,IF(G224="",H224,G224)),H224))</f>
      </c>
      <c r="K224" s="5">
        <f>IF(J224="","",J224/60)</f>
      </c>
      <c r="L224" s="5">
        <f>IF(J224="","",(H224-J224)/60)</f>
      </c>
      <c r="M224" s="5">
        <f>IF(I224="Y",K224,0)</f>
      </c>
      <c r="N224" s="3">
        <f>IF(I224="Y",MAX(0,N(F224)),0)</f>
      </c>
      <c r="O224" s="5">
        <f>IF(M224&gt;0,N224/M224,"")</f>
      </c>
    </row>
    <row r="225" spans="1:15" x14ac:dyDescent="0.25">
      <c r="A225" s="2">
        <v>46308</v>
      </c>
      <c r="B225" s="10">
        <v>0.10416666666666667</v>
      </c>
      <c r="C225" s="10">
        <v>0.125</v>
      </c>
      <c r="D225" s="11"/>
      <c r="E225" s="11"/>
      <c r="F225" s="11"/>
      <c r="G225" s="11"/>
      <c r="H225" s="11">
        <v>30</v>
      </c>
      <c r="I225" s="3">
        <f>IF(D225="","",IFERROR(VLOOKUP(D225,Setup!$A$2:$B$60,2,FALSE),""))</f>
      </c>
      <c r="J225" s="7">
        <f>IF(I225="","",MIN(MAX(0,IF(G225="",H225,G225)),H225))</f>
      </c>
      <c r="K225" s="5">
        <f>IF(J225="","",J225/60)</f>
      </c>
      <c r="L225" s="5">
        <f>IF(J225="","",(H225-J225)/60)</f>
      </c>
      <c r="M225" s="5">
        <f>IF(I225="Y",K225,0)</f>
      </c>
      <c r="N225" s="3">
        <f>IF(I225="Y",MAX(0,N(F225)),0)</f>
      </c>
      <c r="O225" s="5">
        <f>IF(M225&gt;0,N225/M225,"")</f>
      </c>
    </row>
    <row r="226" spans="1:15" x14ac:dyDescent="0.25">
      <c r="A226" s="2">
        <v>46308</v>
      </c>
      <c r="B226" s="10">
        <v>0.125</v>
      </c>
      <c r="C226" s="10">
        <v>0.14583333333333334</v>
      </c>
      <c r="D226" s="11"/>
      <c r="E226" s="11"/>
      <c r="F226" s="11"/>
      <c r="G226" s="11"/>
      <c r="H226" s="11">
        <v>30</v>
      </c>
      <c r="I226" s="3">
        <f>IF(D226="","",IFERROR(VLOOKUP(D226,Setup!$A$2:$B$60,2,FALSE),""))</f>
      </c>
      <c r="J226" s="7">
        <f>IF(I226="","",MIN(MAX(0,IF(G226="",H226,G226)),H226))</f>
      </c>
      <c r="K226" s="5">
        <f>IF(J226="","",J226/60)</f>
      </c>
      <c r="L226" s="5">
        <f>IF(J226="","",(H226-J226)/60)</f>
      </c>
      <c r="M226" s="5">
        <f>IF(I226="Y",K226,0)</f>
      </c>
      <c r="N226" s="3">
        <f>IF(I226="Y",MAX(0,N(F226)),0)</f>
      </c>
      <c r="O226" s="5">
        <f>IF(M226&gt;0,N226/M226,"")</f>
      </c>
    </row>
    <row r="227" spans="1:15" x14ac:dyDescent="0.25">
      <c r="A227" s="2">
        <v>46308</v>
      </c>
      <c r="B227" s="10">
        <v>0.14583333333333334</v>
      </c>
      <c r="C227" s="10">
        <v>0.16666666666666666</v>
      </c>
      <c r="D227" s="11"/>
      <c r="E227" s="11"/>
      <c r="F227" s="11"/>
      <c r="G227" s="11"/>
      <c r="H227" s="11">
        <v>30</v>
      </c>
      <c r="I227" s="3">
        <f>IF(D227="","",IFERROR(VLOOKUP(D227,Setup!$A$2:$B$60,2,FALSE),""))</f>
      </c>
      <c r="J227" s="7">
        <f>IF(I227="","",MIN(MAX(0,IF(G227="",H227,G227)),H227))</f>
      </c>
      <c r="K227" s="5">
        <f>IF(J227="","",J227/60)</f>
      </c>
      <c r="L227" s="5">
        <f>IF(J227="","",(H227-J227)/60)</f>
      </c>
      <c r="M227" s="5">
        <f>IF(I227="Y",K227,0)</f>
      </c>
      <c r="N227" s="3">
        <f>IF(I227="Y",MAX(0,N(F227)),0)</f>
      </c>
      <c r="O227" s="5">
        <f>IF(M227&gt;0,N227/M227,"")</f>
      </c>
    </row>
    <row r="228" spans="1:15" x14ac:dyDescent="0.25">
      <c r="A228" s="2">
        <v>46308</v>
      </c>
      <c r="B228" s="10">
        <v>0.16666666666666666</v>
      </c>
      <c r="C228" s="10">
        <v>0.1875</v>
      </c>
      <c r="D228" s="11"/>
      <c r="E228" s="11"/>
      <c r="F228" s="11"/>
      <c r="G228" s="11"/>
      <c r="H228" s="11">
        <v>30</v>
      </c>
      <c r="I228" s="3">
        <f>IF(D228="","",IFERROR(VLOOKUP(D228,Setup!$A$2:$B$60,2,FALSE),""))</f>
      </c>
      <c r="J228" s="7">
        <f>IF(I228="","",MIN(MAX(0,IF(G228="",H228,G228)),H228))</f>
      </c>
      <c r="K228" s="5">
        <f>IF(J228="","",J228/60)</f>
      </c>
      <c r="L228" s="5">
        <f>IF(J228="","",(H228-J228)/60)</f>
      </c>
      <c r="M228" s="5">
        <f>IF(I228="Y",K228,0)</f>
      </c>
      <c r="N228" s="3">
        <f>IF(I228="Y",MAX(0,N(F228)),0)</f>
      </c>
      <c r="O228" s="5">
        <f>IF(M228&gt;0,N228/M228,"")</f>
      </c>
    </row>
    <row r="229" spans="1:15" x14ac:dyDescent="0.25">
      <c r="A229" s="2">
        <v>46308</v>
      </c>
      <c r="B229" s="10">
        <v>0.1875</v>
      </c>
      <c r="C229" s="10">
        <v>0.20833333333333334</v>
      </c>
      <c r="D229" s="11"/>
      <c r="E229" s="11"/>
      <c r="F229" s="11"/>
      <c r="G229" s="11"/>
      <c r="H229" s="11">
        <v>30</v>
      </c>
      <c r="I229" s="3">
        <f>IF(D229="","",IFERROR(VLOOKUP(D229,Setup!$A$2:$B$60,2,FALSE),""))</f>
      </c>
      <c r="J229" s="7">
        <f>IF(I229="","",MIN(MAX(0,IF(G229="",H229,G229)),H229))</f>
      </c>
      <c r="K229" s="5">
        <f>IF(J229="","",J229/60)</f>
      </c>
      <c r="L229" s="5">
        <f>IF(J229="","",(H229-J229)/60)</f>
      </c>
      <c r="M229" s="5">
        <f>IF(I229="Y",K229,0)</f>
      </c>
      <c r="N229" s="3">
        <f>IF(I229="Y",MAX(0,N(F229)),0)</f>
      </c>
      <c r="O229" s="5">
        <f>IF(M229&gt;0,N229/M229,"")</f>
      </c>
    </row>
    <row r="230" spans="1:15" x14ac:dyDescent="0.25">
      <c r="A230" s="2">
        <v>46308</v>
      </c>
      <c r="B230" s="10">
        <v>0.20833333333333334</v>
      </c>
      <c r="C230" s="10">
        <v>0.22916666666666666</v>
      </c>
      <c r="D230" s="11"/>
      <c r="E230" s="11"/>
      <c r="F230" s="11"/>
      <c r="G230" s="11"/>
      <c r="H230" s="11">
        <v>30</v>
      </c>
      <c r="I230" s="3">
        <f>IF(D230="","",IFERROR(VLOOKUP(D230,Setup!$A$2:$B$60,2,FALSE),""))</f>
      </c>
      <c r="J230" s="7">
        <f>IF(I230="","",MIN(MAX(0,IF(G230="",H230,G230)),H230))</f>
      </c>
      <c r="K230" s="5">
        <f>IF(J230="","",J230/60)</f>
      </c>
      <c r="L230" s="5">
        <f>IF(J230="","",(H230-J230)/60)</f>
      </c>
      <c r="M230" s="5">
        <f>IF(I230="Y",K230,0)</f>
      </c>
      <c r="N230" s="3">
        <f>IF(I230="Y",MAX(0,N(F230)),0)</f>
      </c>
      <c r="O230" s="5">
        <f>IF(M230&gt;0,N230/M230,"")</f>
      </c>
    </row>
    <row r="231" spans="1:15" x14ac:dyDescent="0.25">
      <c r="A231" s="2">
        <v>46308</v>
      </c>
      <c r="B231" s="10">
        <v>0.22916666666666666</v>
      </c>
      <c r="C231" s="10">
        <v>0.25</v>
      </c>
      <c r="D231" s="11"/>
      <c r="E231" s="11"/>
      <c r="F231" s="11"/>
      <c r="G231" s="11"/>
      <c r="H231" s="11">
        <v>30</v>
      </c>
      <c r="I231" s="3">
        <f>IF(D231="","",IFERROR(VLOOKUP(D231,Setup!$A$2:$B$60,2,FALSE),""))</f>
      </c>
      <c r="J231" s="7">
        <f>IF(I231="","",MIN(MAX(0,IF(G231="",H231,G231)),H231))</f>
      </c>
      <c r="K231" s="5">
        <f>IF(J231="","",J231/60)</f>
      </c>
      <c r="L231" s="5">
        <f>IF(J231="","",(H231-J231)/60)</f>
      </c>
      <c r="M231" s="5">
        <f>IF(I231="Y",K231,0)</f>
      </c>
      <c r="N231" s="3">
        <f>IF(I231="Y",MAX(0,N(F231)),0)</f>
      </c>
      <c r="O231" s="5">
        <f>IF(M231&gt;0,N231/M231,"")</f>
      </c>
    </row>
    <row r="232" spans="1:15" x14ac:dyDescent="0.25">
      <c r="A232" s="2">
        <v>46308</v>
      </c>
      <c r="B232" s="10">
        <v>0.25</v>
      </c>
      <c r="C232" s="10">
        <v>0.2708333333333333</v>
      </c>
      <c r="D232" s="11"/>
      <c r="E232" s="11"/>
      <c r="F232" s="11"/>
      <c r="G232" s="11"/>
      <c r="H232" s="11">
        <v>30</v>
      </c>
      <c r="I232" s="3">
        <f>IF(D232="","",IFERROR(VLOOKUP(D232,Setup!$A$2:$B$60,2,FALSE),""))</f>
      </c>
      <c r="J232" s="7">
        <f>IF(I232="","",MIN(MAX(0,IF(G232="",H232,G232)),H232))</f>
      </c>
      <c r="K232" s="5">
        <f>IF(J232="","",J232/60)</f>
      </c>
      <c r="L232" s="5">
        <f>IF(J232="","",(H232-J232)/60)</f>
      </c>
      <c r="M232" s="5">
        <f>IF(I232="Y",K232,0)</f>
      </c>
      <c r="N232" s="3">
        <f>IF(I232="Y",MAX(0,N(F232)),0)</f>
      </c>
      <c r="O232" s="5">
        <f>IF(M232&gt;0,N232/M232,"")</f>
      </c>
    </row>
    <row r="233" spans="1:15" x14ac:dyDescent="0.25">
      <c r="A233" s="2">
        <v>46308</v>
      </c>
      <c r="B233" s="10">
        <v>0.2708333333333333</v>
      </c>
      <c r="C233" s="10">
        <v>0.2916666666666667</v>
      </c>
      <c r="D233" s="11"/>
      <c r="E233" s="11"/>
      <c r="F233" s="11"/>
      <c r="G233" s="11"/>
      <c r="H233" s="11">
        <v>30</v>
      </c>
      <c r="I233" s="3">
        <f>IF(D233="","",IFERROR(VLOOKUP(D233,Setup!$A$2:$B$60,2,FALSE),""))</f>
      </c>
      <c r="J233" s="7">
        <f>IF(I233="","",MIN(MAX(0,IF(G233="",H233,G233)),H233))</f>
      </c>
      <c r="K233" s="5">
        <f>IF(J233="","",J233/60)</f>
      </c>
      <c r="L233" s="5">
        <f>IF(J233="","",(H233-J233)/60)</f>
      </c>
      <c r="M233" s="5">
        <f>IF(I233="Y",K233,0)</f>
      </c>
      <c r="N233" s="3">
        <f>IF(I233="Y",MAX(0,N(F233)),0)</f>
      </c>
      <c r="O233" s="5">
        <f>IF(M233&gt;0,N233/M233,"")</f>
      </c>
    </row>
    <row r="234" spans="1:15" x14ac:dyDescent="0.25">
      <c r="A234" s="2">
        <v>46308</v>
      </c>
      <c r="B234" s="10">
        <v>0.2916666666666667</v>
      </c>
      <c r="C234" s="10">
        <v>0.3125</v>
      </c>
      <c r="D234" s="11"/>
      <c r="E234" s="11"/>
      <c r="F234" s="11"/>
      <c r="G234" s="11"/>
      <c r="H234" s="11">
        <v>30</v>
      </c>
      <c r="I234" s="3">
        <f>IF(D234="","",IFERROR(VLOOKUP(D234,Setup!$A$2:$B$60,2,FALSE),""))</f>
      </c>
      <c r="J234" s="7">
        <f>IF(I234="","",MIN(MAX(0,IF(G234="",H234,G234)),H234))</f>
      </c>
      <c r="K234" s="5">
        <f>IF(J234="","",J234/60)</f>
      </c>
      <c r="L234" s="5">
        <f>IF(J234="","",(H234-J234)/60)</f>
      </c>
      <c r="M234" s="5">
        <f>IF(I234="Y",K234,0)</f>
      </c>
      <c r="N234" s="3">
        <f>IF(I234="Y",MAX(0,N(F234)),0)</f>
      </c>
      <c r="O234" s="5">
        <f>IF(M234&gt;0,N234/M234,"")</f>
      </c>
    </row>
    <row r="235" spans="1:15" x14ac:dyDescent="0.25">
      <c r="A235" s="2">
        <v>46308</v>
      </c>
      <c r="B235" s="10">
        <v>0.3125</v>
      </c>
      <c r="C235" s="10">
        <v>0.3333333333333333</v>
      </c>
      <c r="D235" s="11"/>
      <c r="E235" s="11"/>
      <c r="F235" s="11"/>
      <c r="G235" s="11"/>
      <c r="H235" s="11">
        <v>30</v>
      </c>
      <c r="I235" s="3">
        <f>IF(D235="","",IFERROR(VLOOKUP(D235,Setup!$A$2:$B$60,2,FALSE),""))</f>
      </c>
      <c r="J235" s="7">
        <f>IF(I235="","",MIN(MAX(0,IF(G235="",H235,G235)),H235))</f>
      </c>
      <c r="K235" s="5">
        <f>IF(J235="","",J235/60)</f>
      </c>
      <c r="L235" s="5">
        <f>IF(J235="","",(H235-J235)/60)</f>
      </c>
      <c r="M235" s="5">
        <f>IF(I235="Y",K235,0)</f>
      </c>
      <c r="N235" s="3">
        <f>IF(I235="Y",MAX(0,N(F235)),0)</f>
      </c>
      <c r="O235" s="5">
        <f>IF(M235&gt;0,N235/M235,"")</f>
      </c>
    </row>
    <row r="236" spans="1:15" x14ac:dyDescent="0.25">
      <c r="A236" s="2">
        <v>46309</v>
      </c>
      <c r="B236" s="10">
        <v>0.9583333333333334</v>
      </c>
      <c r="C236" s="10">
        <v>0.9791666666666666</v>
      </c>
      <c r="D236" s="11"/>
      <c r="E236" s="11"/>
      <c r="F236" s="11"/>
      <c r="G236" s="11"/>
      <c r="H236" s="11">
        <v>30</v>
      </c>
      <c r="I236" s="3">
        <f>IF(D236="","",IFERROR(VLOOKUP(D236,Setup!$A$2:$B$60,2,FALSE),""))</f>
      </c>
      <c r="J236" s="7">
        <f>IF(I236="","",MIN(MAX(0,IF(G236="",H236,G236)),H236))</f>
      </c>
      <c r="K236" s="5">
        <f>IF(J236="","",J236/60)</f>
      </c>
      <c r="L236" s="5">
        <f>IF(J236="","",(H236-J236)/60)</f>
      </c>
      <c r="M236" s="5">
        <f>IF(I236="Y",K236,0)</f>
      </c>
      <c r="N236" s="3">
        <f>IF(I236="Y",MAX(0,N(F236)),0)</f>
      </c>
      <c r="O236" s="5">
        <f>IF(M236&gt;0,N236/M236,"")</f>
      </c>
    </row>
    <row r="237" spans="1:15" x14ac:dyDescent="0.25">
      <c r="A237" s="2">
        <v>46309</v>
      </c>
      <c r="B237" s="10">
        <v>0.9791666666666666</v>
      </c>
      <c r="C237" s="10">
        <v>0</v>
      </c>
      <c r="D237" s="11"/>
      <c r="E237" s="11"/>
      <c r="F237" s="11"/>
      <c r="G237" s="11"/>
      <c r="H237" s="11">
        <v>30</v>
      </c>
      <c r="I237" s="3">
        <f>IF(D237="","",IFERROR(VLOOKUP(D237,Setup!$A$2:$B$60,2,FALSE),""))</f>
      </c>
      <c r="J237" s="7">
        <f>IF(I237="","",MIN(MAX(0,IF(G237="",H237,G237)),H237))</f>
      </c>
      <c r="K237" s="5">
        <f>IF(J237="","",J237/60)</f>
      </c>
      <c r="L237" s="5">
        <f>IF(J237="","",(H237-J237)/60)</f>
      </c>
      <c r="M237" s="5">
        <f>IF(I237="Y",K237,0)</f>
      </c>
      <c r="N237" s="3">
        <f>IF(I237="Y",MAX(0,N(F237)),0)</f>
      </c>
      <c r="O237" s="5">
        <f>IF(M237&gt;0,N237/M237,"")</f>
      </c>
    </row>
    <row r="238" spans="1:15" x14ac:dyDescent="0.25">
      <c r="A238" s="2">
        <v>46309</v>
      </c>
      <c r="B238" s="10">
        <v>0</v>
      </c>
      <c r="C238" s="10">
        <v>0.020833333333333332</v>
      </c>
      <c r="D238" s="11"/>
      <c r="E238" s="11"/>
      <c r="F238" s="11"/>
      <c r="G238" s="11"/>
      <c r="H238" s="11">
        <v>30</v>
      </c>
      <c r="I238" s="3">
        <f>IF(D238="","",IFERROR(VLOOKUP(D238,Setup!$A$2:$B$60,2,FALSE),""))</f>
      </c>
      <c r="J238" s="7">
        <f>IF(I238="","",MIN(MAX(0,IF(G238="",H238,G238)),H238))</f>
      </c>
      <c r="K238" s="5">
        <f>IF(J238="","",J238/60)</f>
      </c>
      <c r="L238" s="5">
        <f>IF(J238="","",(H238-J238)/60)</f>
      </c>
      <c r="M238" s="5">
        <f>IF(I238="Y",K238,0)</f>
      </c>
      <c r="N238" s="3">
        <f>IF(I238="Y",MAX(0,N(F238)),0)</f>
      </c>
      <c r="O238" s="5">
        <f>IF(M238&gt;0,N238/M238,"")</f>
      </c>
    </row>
    <row r="239" spans="1:15" x14ac:dyDescent="0.25">
      <c r="A239" s="2">
        <v>46309</v>
      </c>
      <c r="B239" s="10">
        <v>0.020833333333333332</v>
      </c>
      <c r="C239" s="10">
        <v>0.041666666666666664</v>
      </c>
      <c r="D239" s="11"/>
      <c r="E239" s="11"/>
      <c r="F239" s="11"/>
      <c r="G239" s="11"/>
      <c r="H239" s="11">
        <v>30</v>
      </c>
      <c r="I239" s="3">
        <f>IF(D239="","",IFERROR(VLOOKUP(D239,Setup!$A$2:$B$60,2,FALSE),""))</f>
      </c>
      <c r="J239" s="7">
        <f>IF(I239="","",MIN(MAX(0,IF(G239="",H239,G239)),H239))</f>
      </c>
      <c r="K239" s="5">
        <f>IF(J239="","",J239/60)</f>
      </c>
      <c r="L239" s="5">
        <f>IF(J239="","",(H239-J239)/60)</f>
      </c>
      <c r="M239" s="5">
        <f>IF(I239="Y",K239,0)</f>
      </c>
      <c r="N239" s="3">
        <f>IF(I239="Y",MAX(0,N(F239)),0)</f>
      </c>
      <c r="O239" s="5">
        <f>IF(M239&gt;0,N239/M239,"")</f>
      </c>
    </row>
    <row r="240" spans="1:15" x14ac:dyDescent="0.25">
      <c r="A240" s="2">
        <v>46309</v>
      </c>
      <c r="B240" s="10">
        <v>0.041666666666666664</v>
      </c>
      <c r="C240" s="10">
        <v>0.0625</v>
      </c>
      <c r="D240" s="11"/>
      <c r="E240" s="11"/>
      <c r="F240" s="11"/>
      <c r="G240" s="11"/>
      <c r="H240" s="11">
        <v>30</v>
      </c>
      <c r="I240" s="3">
        <f>IF(D240="","",IFERROR(VLOOKUP(D240,Setup!$A$2:$B$60,2,FALSE),""))</f>
      </c>
      <c r="J240" s="7">
        <f>IF(I240="","",MIN(MAX(0,IF(G240="",H240,G240)),H240))</f>
      </c>
      <c r="K240" s="5">
        <f>IF(J240="","",J240/60)</f>
      </c>
      <c r="L240" s="5">
        <f>IF(J240="","",(H240-J240)/60)</f>
      </c>
      <c r="M240" s="5">
        <f>IF(I240="Y",K240,0)</f>
      </c>
      <c r="N240" s="3">
        <f>IF(I240="Y",MAX(0,N(F240)),0)</f>
      </c>
      <c r="O240" s="5">
        <f>IF(M240&gt;0,N240/M240,"")</f>
      </c>
    </row>
    <row r="241" spans="1:15" x14ac:dyDescent="0.25">
      <c r="A241" s="2">
        <v>46309</v>
      </c>
      <c r="B241" s="10">
        <v>0.0625</v>
      </c>
      <c r="C241" s="10">
        <v>0.08333333333333333</v>
      </c>
      <c r="D241" s="11"/>
      <c r="E241" s="11"/>
      <c r="F241" s="11"/>
      <c r="G241" s="11"/>
      <c r="H241" s="11">
        <v>30</v>
      </c>
      <c r="I241" s="3">
        <f>IF(D241="","",IFERROR(VLOOKUP(D241,Setup!$A$2:$B$60,2,FALSE),""))</f>
      </c>
      <c r="J241" s="7">
        <f>IF(I241="","",MIN(MAX(0,IF(G241="",H241,G241)),H241))</f>
      </c>
      <c r="K241" s="5">
        <f>IF(J241="","",J241/60)</f>
      </c>
      <c r="L241" s="5">
        <f>IF(J241="","",(H241-J241)/60)</f>
      </c>
      <c r="M241" s="5">
        <f>IF(I241="Y",K241,0)</f>
      </c>
      <c r="N241" s="3">
        <f>IF(I241="Y",MAX(0,N(F241)),0)</f>
      </c>
      <c r="O241" s="5">
        <f>IF(M241&gt;0,N241/M241,"")</f>
      </c>
    </row>
    <row r="242" spans="1:15" x14ac:dyDescent="0.25">
      <c r="A242" s="2">
        <v>46309</v>
      </c>
      <c r="B242" s="10">
        <v>0.08333333333333333</v>
      </c>
      <c r="C242" s="10">
        <v>0.10416666666666667</v>
      </c>
      <c r="D242" s="11"/>
      <c r="E242" s="11"/>
      <c r="F242" s="11"/>
      <c r="G242" s="11"/>
      <c r="H242" s="11">
        <v>30</v>
      </c>
      <c r="I242" s="3">
        <f>IF(D242="","",IFERROR(VLOOKUP(D242,Setup!$A$2:$B$60,2,FALSE),""))</f>
      </c>
      <c r="J242" s="7">
        <f>IF(I242="","",MIN(MAX(0,IF(G242="",H242,G242)),H242))</f>
      </c>
      <c r="K242" s="5">
        <f>IF(J242="","",J242/60)</f>
      </c>
      <c r="L242" s="5">
        <f>IF(J242="","",(H242-J242)/60)</f>
      </c>
      <c r="M242" s="5">
        <f>IF(I242="Y",K242,0)</f>
      </c>
      <c r="N242" s="3">
        <f>IF(I242="Y",MAX(0,N(F242)),0)</f>
      </c>
      <c r="O242" s="5">
        <f>IF(M242&gt;0,N242/M242,"")</f>
      </c>
    </row>
    <row r="243" spans="1:15" x14ac:dyDescent="0.25">
      <c r="A243" s="2">
        <v>46309</v>
      </c>
      <c r="B243" s="10">
        <v>0.10416666666666667</v>
      </c>
      <c r="C243" s="10">
        <v>0.125</v>
      </c>
      <c r="D243" s="11"/>
      <c r="E243" s="11"/>
      <c r="F243" s="11"/>
      <c r="G243" s="11"/>
      <c r="H243" s="11">
        <v>30</v>
      </c>
      <c r="I243" s="3">
        <f>IF(D243="","",IFERROR(VLOOKUP(D243,Setup!$A$2:$B$60,2,FALSE),""))</f>
      </c>
      <c r="J243" s="7">
        <f>IF(I243="","",MIN(MAX(0,IF(G243="",H243,G243)),H243))</f>
      </c>
      <c r="K243" s="5">
        <f>IF(J243="","",J243/60)</f>
      </c>
      <c r="L243" s="5">
        <f>IF(J243="","",(H243-J243)/60)</f>
      </c>
      <c r="M243" s="5">
        <f>IF(I243="Y",K243,0)</f>
      </c>
      <c r="N243" s="3">
        <f>IF(I243="Y",MAX(0,N(F243)),0)</f>
      </c>
      <c r="O243" s="5">
        <f>IF(M243&gt;0,N243/M243,"")</f>
      </c>
    </row>
    <row r="244" spans="1:15" x14ac:dyDescent="0.25">
      <c r="A244" s="2">
        <v>46309</v>
      </c>
      <c r="B244" s="10">
        <v>0.125</v>
      </c>
      <c r="C244" s="10">
        <v>0.14583333333333334</v>
      </c>
      <c r="D244" s="11"/>
      <c r="E244" s="11"/>
      <c r="F244" s="11"/>
      <c r="G244" s="11"/>
      <c r="H244" s="11">
        <v>30</v>
      </c>
      <c r="I244" s="3">
        <f>IF(D244="","",IFERROR(VLOOKUP(D244,Setup!$A$2:$B$60,2,FALSE),""))</f>
      </c>
      <c r="J244" s="7">
        <f>IF(I244="","",MIN(MAX(0,IF(G244="",H244,G244)),H244))</f>
      </c>
      <c r="K244" s="5">
        <f>IF(J244="","",J244/60)</f>
      </c>
      <c r="L244" s="5">
        <f>IF(J244="","",(H244-J244)/60)</f>
      </c>
      <c r="M244" s="5">
        <f>IF(I244="Y",K244,0)</f>
      </c>
      <c r="N244" s="3">
        <f>IF(I244="Y",MAX(0,N(F244)),0)</f>
      </c>
      <c r="O244" s="5">
        <f>IF(M244&gt;0,N244/M244,"")</f>
      </c>
    </row>
    <row r="245" spans="1:15" x14ac:dyDescent="0.25">
      <c r="A245" s="2">
        <v>46309</v>
      </c>
      <c r="B245" s="10">
        <v>0.14583333333333334</v>
      </c>
      <c r="C245" s="10">
        <v>0.16666666666666666</v>
      </c>
      <c r="D245" s="11"/>
      <c r="E245" s="11"/>
      <c r="F245" s="11"/>
      <c r="G245" s="11"/>
      <c r="H245" s="11">
        <v>30</v>
      </c>
      <c r="I245" s="3">
        <f>IF(D245="","",IFERROR(VLOOKUP(D245,Setup!$A$2:$B$60,2,FALSE),""))</f>
      </c>
      <c r="J245" s="7">
        <f>IF(I245="","",MIN(MAX(0,IF(G245="",H245,G245)),H245))</f>
      </c>
      <c r="K245" s="5">
        <f>IF(J245="","",J245/60)</f>
      </c>
      <c r="L245" s="5">
        <f>IF(J245="","",(H245-J245)/60)</f>
      </c>
      <c r="M245" s="5">
        <f>IF(I245="Y",K245,0)</f>
      </c>
      <c r="N245" s="3">
        <f>IF(I245="Y",MAX(0,N(F245)),0)</f>
      </c>
      <c r="O245" s="5">
        <f>IF(M245&gt;0,N245/M245,"")</f>
      </c>
    </row>
    <row r="246" spans="1:15" x14ac:dyDescent="0.25">
      <c r="A246" s="2">
        <v>46309</v>
      </c>
      <c r="B246" s="10">
        <v>0.16666666666666666</v>
      </c>
      <c r="C246" s="10">
        <v>0.1875</v>
      </c>
      <c r="D246" s="11"/>
      <c r="E246" s="11"/>
      <c r="F246" s="11"/>
      <c r="G246" s="11"/>
      <c r="H246" s="11">
        <v>30</v>
      </c>
      <c r="I246" s="3">
        <f>IF(D246="","",IFERROR(VLOOKUP(D246,Setup!$A$2:$B$60,2,FALSE),""))</f>
      </c>
      <c r="J246" s="7">
        <f>IF(I246="","",MIN(MAX(0,IF(G246="",H246,G246)),H246))</f>
      </c>
      <c r="K246" s="5">
        <f>IF(J246="","",J246/60)</f>
      </c>
      <c r="L246" s="5">
        <f>IF(J246="","",(H246-J246)/60)</f>
      </c>
      <c r="M246" s="5">
        <f>IF(I246="Y",K246,0)</f>
      </c>
      <c r="N246" s="3">
        <f>IF(I246="Y",MAX(0,N(F246)),0)</f>
      </c>
      <c r="O246" s="5">
        <f>IF(M246&gt;0,N246/M246,"")</f>
      </c>
    </row>
    <row r="247" spans="1:15" x14ac:dyDescent="0.25">
      <c r="A247" s="2">
        <v>46309</v>
      </c>
      <c r="B247" s="10">
        <v>0.1875</v>
      </c>
      <c r="C247" s="10">
        <v>0.20833333333333334</v>
      </c>
      <c r="D247" s="11"/>
      <c r="E247" s="11"/>
      <c r="F247" s="11"/>
      <c r="G247" s="11"/>
      <c r="H247" s="11">
        <v>30</v>
      </c>
      <c r="I247" s="3">
        <f>IF(D247="","",IFERROR(VLOOKUP(D247,Setup!$A$2:$B$60,2,FALSE),""))</f>
      </c>
      <c r="J247" s="7">
        <f>IF(I247="","",MIN(MAX(0,IF(G247="",H247,G247)),H247))</f>
      </c>
      <c r="K247" s="5">
        <f>IF(J247="","",J247/60)</f>
      </c>
      <c r="L247" s="5">
        <f>IF(J247="","",(H247-J247)/60)</f>
      </c>
      <c r="M247" s="5">
        <f>IF(I247="Y",K247,0)</f>
      </c>
      <c r="N247" s="3">
        <f>IF(I247="Y",MAX(0,N(F247)),0)</f>
      </c>
      <c r="O247" s="5">
        <f>IF(M247&gt;0,N247/M247,"")</f>
      </c>
    </row>
    <row r="248" spans="1:15" x14ac:dyDescent="0.25">
      <c r="A248" s="2">
        <v>46309</v>
      </c>
      <c r="B248" s="10">
        <v>0.20833333333333334</v>
      </c>
      <c r="C248" s="10">
        <v>0.22916666666666666</v>
      </c>
      <c r="D248" s="11"/>
      <c r="E248" s="11"/>
      <c r="F248" s="11"/>
      <c r="G248" s="11"/>
      <c r="H248" s="11">
        <v>30</v>
      </c>
      <c r="I248" s="3">
        <f>IF(D248="","",IFERROR(VLOOKUP(D248,Setup!$A$2:$B$60,2,FALSE),""))</f>
      </c>
      <c r="J248" s="7">
        <f>IF(I248="","",MIN(MAX(0,IF(G248="",H248,G248)),H248))</f>
      </c>
      <c r="K248" s="5">
        <f>IF(J248="","",J248/60)</f>
      </c>
      <c r="L248" s="5">
        <f>IF(J248="","",(H248-J248)/60)</f>
      </c>
      <c r="M248" s="5">
        <f>IF(I248="Y",K248,0)</f>
      </c>
      <c r="N248" s="3">
        <f>IF(I248="Y",MAX(0,N(F248)),0)</f>
      </c>
      <c r="O248" s="5">
        <f>IF(M248&gt;0,N248/M248,"")</f>
      </c>
    </row>
    <row r="249" spans="1:15" x14ac:dyDescent="0.25">
      <c r="A249" s="2">
        <v>46309</v>
      </c>
      <c r="B249" s="10">
        <v>0.22916666666666666</v>
      </c>
      <c r="C249" s="10">
        <v>0.25</v>
      </c>
      <c r="D249" s="11"/>
      <c r="E249" s="11"/>
      <c r="F249" s="11"/>
      <c r="G249" s="11"/>
      <c r="H249" s="11">
        <v>30</v>
      </c>
      <c r="I249" s="3">
        <f>IF(D249="","",IFERROR(VLOOKUP(D249,Setup!$A$2:$B$60,2,FALSE),""))</f>
      </c>
      <c r="J249" s="7">
        <f>IF(I249="","",MIN(MAX(0,IF(G249="",H249,G249)),H249))</f>
      </c>
      <c r="K249" s="5">
        <f>IF(J249="","",J249/60)</f>
      </c>
      <c r="L249" s="5">
        <f>IF(J249="","",(H249-J249)/60)</f>
      </c>
      <c r="M249" s="5">
        <f>IF(I249="Y",K249,0)</f>
      </c>
      <c r="N249" s="3">
        <f>IF(I249="Y",MAX(0,N(F249)),0)</f>
      </c>
      <c r="O249" s="5">
        <f>IF(M249&gt;0,N249/M249,"")</f>
      </c>
    </row>
    <row r="250" spans="1:15" x14ac:dyDescent="0.25">
      <c r="A250" s="2">
        <v>46309</v>
      </c>
      <c r="B250" s="10">
        <v>0.25</v>
      </c>
      <c r="C250" s="10">
        <v>0.2708333333333333</v>
      </c>
      <c r="D250" s="11"/>
      <c r="E250" s="11"/>
      <c r="F250" s="11"/>
      <c r="G250" s="11"/>
      <c r="H250" s="11">
        <v>30</v>
      </c>
      <c r="I250" s="3">
        <f>IF(D250="","",IFERROR(VLOOKUP(D250,Setup!$A$2:$B$60,2,FALSE),""))</f>
      </c>
      <c r="J250" s="7">
        <f>IF(I250="","",MIN(MAX(0,IF(G250="",H250,G250)),H250))</f>
      </c>
      <c r="K250" s="5">
        <f>IF(J250="","",J250/60)</f>
      </c>
      <c r="L250" s="5">
        <f>IF(J250="","",(H250-J250)/60)</f>
      </c>
      <c r="M250" s="5">
        <f>IF(I250="Y",K250,0)</f>
      </c>
      <c r="N250" s="3">
        <f>IF(I250="Y",MAX(0,N(F250)),0)</f>
      </c>
      <c r="O250" s="5">
        <f>IF(M250&gt;0,N250/M250,"")</f>
      </c>
    </row>
    <row r="251" spans="1:15" x14ac:dyDescent="0.25">
      <c r="A251" s="2">
        <v>46309</v>
      </c>
      <c r="B251" s="10">
        <v>0.2708333333333333</v>
      </c>
      <c r="C251" s="10">
        <v>0.2916666666666667</v>
      </c>
      <c r="D251" s="11"/>
      <c r="E251" s="11"/>
      <c r="F251" s="11"/>
      <c r="G251" s="11"/>
      <c r="H251" s="11">
        <v>30</v>
      </c>
      <c r="I251" s="3">
        <f>IF(D251="","",IFERROR(VLOOKUP(D251,Setup!$A$2:$B$60,2,FALSE),""))</f>
      </c>
      <c r="J251" s="7">
        <f>IF(I251="","",MIN(MAX(0,IF(G251="",H251,G251)),H251))</f>
      </c>
      <c r="K251" s="5">
        <f>IF(J251="","",J251/60)</f>
      </c>
      <c r="L251" s="5">
        <f>IF(J251="","",(H251-J251)/60)</f>
      </c>
      <c r="M251" s="5">
        <f>IF(I251="Y",K251,0)</f>
      </c>
      <c r="N251" s="3">
        <f>IF(I251="Y",MAX(0,N(F251)),0)</f>
      </c>
      <c r="O251" s="5">
        <f>IF(M251&gt;0,N251/M251,"")</f>
      </c>
    </row>
    <row r="252" spans="1:15" x14ac:dyDescent="0.25">
      <c r="A252" s="2">
        <v>46309</v>
      </c>
      <c r="B252" s="10">
        <v>0.2916666666666667</v>
      </c>
      <c r="C252" s="10">
        <v>0.3125</v>
      </c>
      <c r="D252" s="11"/>
      <c r="E252" s="11"/>
      <c r="F252" s="11"/>
      <c r="G252" s="11"/>
      <c r="H252" s="11">
        <v>30</v>
      </c>
      <c r="I252" s="3">
        <f>IF(D252="","",IFERROR(VLOOKUP(D252,Setup!$A$2:$B$60,2,FALSE),""))</f>
      </c>
      <c r="J252" s="7">
        <f>IF(I252="","",MIN(MAX(0,IF(G252="",H252,G252)),H252))</f>
      </c>
      <c r="K252" s="5">
        <f>IF(J252="","",J252/60)</f>
      </c>
      <c r="L252" s="5">
        <f>IF(J252="","",(H252-J252)/60)</f>
      </c>
      <c r="M252" s="5">
        <f>IF(I252="Y",K252,0)</f>
      </c>
      <c r="N252" s="3">
        <f>IF(I252="Y",MAX(0,N(F252)),0)</f>
      </c>
      <c r="O252" s="5">
        <f>IF(M252&gt;0,N252/M252,"")</f>
      </c>
    </row>
    <row r="253" spans="1:15" x14ac:dyDescent="0.25">
      <c r="A253" s="2">
        <v>46309</v>
      </c>
      <c r="B253" s="10">
        <v>0.3125</v>
      </c>
      <c r="C253" s="10">
        <v>0.3333333333333333</v>
      </c>
      <c r="D253" s="11"/>
      <c r="E253" s="11"/>
      <c r="F253" s="11"/>
      <c r="G253" s="11"/>
      <c r="H253" s="11">
        <v>30</v>
      </c>
      <c r="I253" s="3">
        <f>IF(D253="","",IFERROR(VLOOKUP(D253,Setup!$A$2:$B$60,2,FALSE),""))</f>
      </c>
      <c r="J253" s="7">
        <f>IF(I253="","",MIN(MAX(0,IF(G253="",H253,G253)),H253))</f>
      </c>
      <c r="K253" s="5">
        <f>IF(J253="","",J253/60)</f>
      </c>
      <c r="L253" s="5">
        <f>IF(J253="","",(H253-J253)/60)</f>
      </c>
      <c r="M253" s="5">
        <f>IF(I253="Y",K253,0)</f>
      </c>
      <c r="N253" s="3">
        <f>IF(I253="Y",MAX(0,N(F253)),0)</f>
      </c>
      <c r="O253" s="5">
        <f>IF(M253&gt;0,N253/M253,"")</f>
      </c>
    </row>
    <row r="254" spans="1:15" x14ac:dyDescent="0.25">
      <c r="A254" s="2">
        <v>46310</v>
      </c>
      <c r="B254" s="10">
        <v>0.9583333333333334</v>
      </c>
      <c r="C254" s="10">
        <v>0.9791666666666666</v>
      </c>
      <c r="D254" s="11"/>
      <c r="E254" s="11"/>
      <c r="F254" s="11"/>
      <c r="G254" s="11"/>
      <c r="H254" s="11">
        <v>30</v>
      </c>
      <c r="I254" s="3">
        <f>IF(D254="","",IFERROR(VLOOKUP(D254,Setup!$A$2:$B$60,2,FALSE),""))</f>
      </c>
      <c r="J254" s="7">
        <f>IF(I254="","",MIN(MAX(0,IF(G254="",H254,G254)),H254))</f>
      </c>
      <c r="K254" s="5">
        <f>IF(J254="","",J254/60)</f>
      </c>
      <c r="L254" s="5">
        <f>IF(J254="","",(H254-J254)/60)</f>
      </c>
      <c r="M254" s="5">
        <f>IF(I254="Y",K254,0)</f>
      </c>
      <c r="N254" s="3">
        <f>IF(I254="Y",MAX(0,N(F254)),0)</f>
      </c>
      <c r="O254" s="5">
        <f>IF(M254&gt;0,N254/M254,"")</f>
      </c>
    </row>
    <row r="255" spans="1:15" x14ac:dyDescent="0.25">
      <c r="A255" s="2">
        <v>46310</v>
      </c>
      <c r="B255" s="10">
        <v>0.9791666666666666</v>
      </c>
      <c r="C255" s="10">
        <v>0</v>
      </c>
      <c r="D255" s="11"/>
      <c r="E255" s="11"/>
      <c r="F255" s="11"/>
      <c r="G255" s="11"/>
      <c r="H255" s="11">
        <v>30</v>
      </c>
      <c r="I255" s="3">
        <f>IF(D255="","",IFERROR(VLOOKUP(D255,Setup!$A$2:$B$60,2,FALSE),""))</f>
      </c>
      <c r="J255" s="7">
        <f>IF(I255="","",MIN(MAX(0,IF(G255="",H255,G255)),H255))</f>
      </c>
      <c r="K255" s="5">
        <f>IF(J255="","",J255/60)</f>
      </c>
      <c r="L255" s="5">
        <f>IF(J255="","",(H255-J255)/60)</f>
      </c>
      <c r="M255" s="5">
        <f>IF(I255="Y",K255,0)</f>
      </c>
      <c r="N255" s="3">
        <f>IF(I255="Y",MAX(0,N(F255)),0)</f>
      </c>
      <c r="O255" s="5">
        <f>IF(M255&gt;0,N255/M255,"")</f>
      </c>
    </row>
    <row r="256" spans="1:15" x14ac:dyDescent="0.25">
      <c r="A256" s="2">
        <v>46310</v>
      </c>
      <c r="B256" s="10">
        <v>0</v>
      </c>
      <c r="C256" s="10">
        <v>0.020833333333333332</v>
      </c>
      <c r="D256" s="11"/>
      <c r="E256" s="11"/>
      <c r="F256" s="11"/>
      <c r="G256" s="11"/>
      <c r="H256" s="11">
        <v>30</v>
      </c>
      <c r="I256" s="3">
        <f>IF(D256="","",IFERROR(VLOOKUP(D256,Setup!$A$2:$B$60,2,FALSE),""))</f>
      </c>
      <c r="J256" s="7">
        <f>IF(I256="","",MIN(MAX(0,IF(G256="",H256,G256)),H256))</f>
      </c>
      <c r="K256" s="5">
        <f>IF(J256="","",J256/60)</f>
      </c>
      <c r="L256" s="5">
        <f>IF(J256="","",(H256-J256)/60)</f>
      </c>
      <c r="M256" s="5">
        <f>IF(I256="Y",K256,0)</f>
      </c>
      <c r="N256" s="3">
        <f>IF(I256="Y",MAX(0,N(F256)),0)</f>
      </c>
      <c r="O256" s="5">
        <f>IF(M256&gt;0,N256/M256,"")</f>
      </c>
    </row>
    <row r="257" spans="1:15" x14ac:dyDescent="0.25">
      <c r="A257" s="2">
        <v>46310</v>
      </c>
      <c r="B257" s="10">
        <v>0.020833333333333332</v>
      </c>
      <c r="C257" s="10">
        <v>0.041666666666666664</v>
      </c>
      <c r="D257" s="11"/>
      <c r="E257" s="11"/>
      <c r="F257" s="11"/>
      <c r="G257" s="11"/>
      <c r="H257" s="11">
        <v>30</v>
      </c>
      <c r="I257" s="3">
        <f>IF(D257="","",IFERROR(VLOOKUP(D257,Setup!$A$2:$B$60,2,FALSE),""))</f>
      </c>
      <c r="J257" s="7">
        <f>IF(I257="","",MIN(MAX(0,IF(G257="",H257,G257)),H257))</f>
      </c>
      <c r="K257" s="5">
        <f>IF(J257="","",J257/60)</f>
      </c>
      <c r="L257" s="5">
        <f>IF(J257="","",(H257-J257)/60)</f>
      </c>
      <c r="M257" s="5">
        <f>IF(I257="Y",K257,0)</f>
      </c>
      <c r="N257" s="3">
        <f>IF(I257="Y",MAX(0,N(F257)),0)</f>
      </c>
      <c r="O257" s="5">
        <f>IF(M257&gt;0,N257/M257,"")</f>
      </c>
    </row>
    <row r="258" spans="1:15" x14ac:dyDescent="0.25">
      <c r="A258" s="2">
        <v>46310</v>
      </c>
      <c r="B258" s="10">
        <v>0.041666666666666664</v>
      </c>
      <c r="C258" s="10">
        <v>0.0625</v>
      </c>
      <c r="D258" s="11"/>
      <c r="E258" s="11"/>
      <c r="F258" s="11"/>
      <c r="G258" s="11"/>
      <c r="H258" s="11">
        <v>30</v>
      </c>
      <c r="I258" s="3">
        <f>IF(D258="","",IFERROR(VLOOKUP(D258,Setup!$A$2:$B$60,2,FALSE),""))</f>
      </c>
      <c r="J258" s="7">
        <f>IF(I258="","",MIN(MAX(0,IF(G258="",H258,G258)),H258))</f>
      </c>
      <c r="K258" s="5">
        <f>IF(J258="","",J258/60)</f>
      </c>
      <c r="L258" s="5">
        <f>IF(J258="","",(H258-J258)/60)</f>
      </c>
      <c r="M258" s="5">
        <f>IF(I258="Y",K258,0)</f>
      </c>
      <c r="N258" s="3">
        <f>IF(I258="Y",MAX(0,N(F258)),0)</f>
      </c>
      <c r="O258" s="5">
        <f>IF(M258&gt;0,N258/M258,"")</f>
      </c>
    </row>
    <row r="259" spans="1:15" x14ac:dyDescent="0.25">
      <c r="A259" s="2">
        <v>46310</v>
      </c>
      <c r="B259" s="10">
        <v>0.0625</v>
      </c>
      <c r="C259" s="10">
        <v>0.08333333333333333</v>
      </c>
      <c r="D259" s="11"/>
      <c r="E259" s="11"/>
      <c r="F259" s="11"/>
      <c r="G259" s="11"/>
      <c r="H259" s="11">
        <v>30</v>
      </c>
      <c r="I259" s="3">
        <f>IF(D259="","",IFERROR(VLOOKUP(D259,Setup!$A$2:$B$60,2,FALSE),""))</f>
      </c>
      <c r="J259" s="7">
        <f>IF(I259="","",MIN(MAX(0,IF(G259="",H259,G259)),H259))</f>
      </c>
      <c r="K259" s="5">
        <f>IF(J259="","",J259/60)</f>
      </c>
      <c r="L259" s="5">
        <f>IF(J259="","",(H259-J259)/60)</f>
      </c>
      <c r="M259" s="5">
        <f>IF(I259="Y",K259,0)</f>
      </c>
      <c r="N259" s="3">
        <f>IF(I259="Y",MAX(0,N(F259)),0)</f>
      </c>
      <c r="O259" s="5">
        <f>IF(M259&gt;0,N259/M259,"")</f>
      </c>
    </row>
    <row r="260" spans="1:15" x14ac:dyDescent="0.25">
      <c r="A260" s="2">
        <v>46310</v>
      </c>
      <c r="B260" s="10">
        <v>0.08333333333333333</v>
      </c>
      <c r="C260" s="10">
        <v>0.10416666666666667</v>
      </c>
      <c r="D260" s="11"/>
      <c r="E260" s="11"/>
      <c r="F260" s="11"/>
      <c r="G260" s="11"/>
      <c r="H260" s="11">
        <v>30</v>
      </c>
      <c r="I260" s="3">
        <f>IF(D260="","",IFERROR(VLOOKUP(D260,Setup!$A$2:$B$60,2,FALSE),""))</f>
      </c>
      <c r="J260" s="7">
        <f>IF(I260="","",MIN(MAX(0,IF(G260="",H260,G260)),H260))</f>
      </c>
      <c r="K260" s="5">
        <f>IF(J260="","",J260/60)</f>
      </c>
      <c r="L260" s="5">
        <f>IF(J260="","",(H260-J260)/60)</f>
      </c>
      <c r="M260" s="5">
        <f>IF(I260="Y",K260,0)</f>
      </c>
      <c r="N260" s="3">
        <f>IF(I260="Y",MAX(0,N(F260)),0)</f>
      </c>
      <c r="O260" s="5">
        <f>IF(M260&gt;0,N260/M260,"")</f>
      </c>
    </row>
    <row r="261" spans="1:15" x14ac:dyDescent="0.25">
      <c r="A261" s="2">
        <v>46310</v>
      </c>
      <c r="B261" s="10">
        <v>0.10416666666666667</v>
      </c>
      <c r="C261" s="10">
        <v>0.125</v>
      </c>
      <c r="D261" s="11"/>
      <c r="E261" s="11"/>
      <c r="F261" s="11"/>
      <c r="G261" s="11"/>
      <c r="H261" s="11">
        <v>30</v>
      </c>
      <c r="I261" s="3">
        <f>IF(D261="","",IFERROR(VLOOKUP(D261,Setup!$A$2:$B$60,2,FALSE),""))</f>
      </c>
      <c r="J261" s="7">
        <f>IF(I261="","",MIN(MAX(0,IF(G261="",H261,G261)),H261))</f>
      </c>
      <c r="K261" s="5">
        <f>IF(J261="","",J261/60)</f>
      </c>
      <c r="L261" s="5">
        <f>IF(J261="","",(H261-J261)/60)</f>
      </c>
      <c r="M261" s="5">
        <f>IF(I261="Y",K261,0)</f>
      </c>
      <c r="N261" s="3">
        <f>IF(I261="Y",MAX(0,N(F261)),0)</f>
      </c>
      <c r="O261" s="5">
        <f>IF(M261&gt;0,N261/M261,"")</f>
      </c>
    </row>
    <row r="262" spans="1:15" x14ac:dyDescent="0.25">
      <c r="A262" s="2">
        <v>46310</v>
      </c>
      <c r="B262" s="10">
        <v>0.125</v>
      </c>
      <c r="C262" s="10">
        <v>0.14583333333333334</v>
      </c>
      <c r="D262" s="11"/>
      <c r="E262" s="11"/>
      <c r="F262" s="11"/>
      <c r="G262" s="11"/>
      <c r="H262" s="11">
        <v>30</v>
      </c>
      <c r="I262" s="3">
        <f>IF(D262="","",IFERROR(VLOOKUP(D262,Setup!$A$2:$B$60,2,FALSE),""))</f>
      </c>
      <c r="J262" s="7">
        <f>IF(I262="","",MIN(MAX(0,IF(G262="",H262,G262)),H262))</f>
      </c>
      <c r="K262" s="5">
        <f>IF(J262="","",J262/60)</f>
      </c>
      <c r="L262" s="5">
        <f>IF(J262="","",(H262-J262)/60)</f>
      </c>
      <c r="M262" s="5">
        <f>IF(I262="Y",K262,0)</f>
      </c>
      <c r="N262" s="3">
        <f>IF(I262="Y",MAX(0,N(F262)),0)</f>
      </c>
      <c r="O262" s="5">
        <f>IF(M262&gt;0,N262/M262,"")</f>
      </c>
    </row>
    <row r="263" spans="1:15" x14ac:dyDescent="0.25">
      <c r="A263" s="2">
        <v>46310</v>
      </c>
      <c r="B263" s="10">
        <v>0.14583333333333334</v>
      </c>
      <c r="C263" s="10">
        <v>0.16666666666666666</v>
      </c>
      <c r="D263" s="11"/>
      <c r="E263" s="11"/>
      <c r="F263" s="11"/>
      <c r="G263" s="11"/>
      <c r="H263" s="11">
        <v>30</v>
      </c>
      <c r="I263" s="3">
        <f>IF(D263="","",IFERROR(VLOOKUP(D263,Setup!$A$2:$B$60,2,FALSE),""))</f>
      </c>
      <c r="J263" s="7">
        <f>IF(I263="","",MIN(MAX(0,IF(G263="",H263,G263)),H263))</f>
      </c>
      <c r="K263" s="5">
        <f>IF(J263="","",J263/60)</f>
      </c>
      <c r="L263" s="5">
        <f>IF(J263="","",(H263-J263)/60)</f>
      </c>
      <c r="M263" s="5">
        <f>IF(I263="Y",K263,0)</f>
      </c>
      <c r="N263" s="3">
        <f>IF(I263="Y",MAX(0,N(F263)),0)</f>
      </c>
      <c r="O263" s="5">
        <f>IF(M263&gt;0,N263/M263,"")</f>
      </c>
    </row>
    <row r="264" spans="1:15" x14ac:dyDescent="0.25">
      <c r="A264" s="2">
        <v>46310</v>
      </c>
      <c r="B264" s="10">
        <v>0.16666666666666666</v>
      </c>
      <c r="C264" s="10">
        <v>0.1875</v>
      </c>
      <c r="D264" s="11"/>
      <c r="E264" s="11"/>
      <c r="F264" s="11"/>
      <c r="G264" s="11"/>
      <c r="H264" s="11">
        <v>30</v>
      </c>
      <c r="I264" s="3">
        <f>IF(D264="","",IFERROR(VLOOKUP(D264,Setup!$A$2:$B$60,2,FALSE),""))</f>
      </c>
      <c r="J264" s="7">
        <f>IF(I264="","",MIN(MAX(0,IF(G264="",H264,G264)),H264))</f>
      </c>
      <c r="K264" s="5">
        <f>IF(J264="","",J264/60)</f>
      </c>
      <c r="L264" s="5">
        <f>IF(J264="","",(H264-J264)/60)</f>
      </c>
      <c r="M264" s="5">
        <f>IF(I264="Y",K264,0)</f>
      </c>
      <c r="N264" s="3">
        <f>IF(I264="Y",MAX(0,N(F264)),0)</f>
      </c>
      <c r="O264" s="5">
        <f>IF(M264&gt;0,N264/M264,"")</f>
      </c>
    </row>
    <row r="265" spans="1:15" x14ac:dyDescent="0.25">
      <c r="A265" s="2">
        <v>46310</v>
      </c>
      <c r="B265" s="10">
        <v>0.1875</v>
      </c>
      <c r="C265" s="10">
        <v>0.20833333333333334</v>
      </c>
      <c r="D265" s="11"/>
      <c r="E265" s="11"/>
      <c r="F265" s="11"/>
      <c r="G265" s="11"/>
      <c r="H265" s="11">
        <v>30</v>
      </c>
      <c r="I265" s="3">
        <f>IF(D265="","",IFERROR(VLOOKUP(D265,Setup!$A$2:$B$60,2,FALSE),""))</f>
      </c>
      <c r="J265" s="7">
        <f>IF(I265="","",MIN(MAX(0,IF(G265="",H265,G265)),H265))</f>
      </c>
      <c r="K265" s="5">
        <f>IF(J265="","",J265/60)</f>
      </c>
      <c r="L265" s="5">
        <f>IF(J265="","",(H265-J265)/60)</f>
      </c>
      <c r="M265" s="5">
        <f>IF(I265="Y",K265,0)</f>
      </c>
      <c r="N265" s="3">
        <f>IF(I265="Y",MAX(0,N(F265)),0)</f>
      </c>
      <c r="O265" s="5">
        <f>IF(M265&gt;0,N265/M265,"")</f>
      </c>
    </row>
    <row r="266" spans="1:15" x14ac:dyDescent="0.25">
      <c r="A266" s="2">
        <v>46310</v>
      </c>
      <c r="B266" s="10">
        <v>0.20833333333333334</v>
      </c>
      <c r="C266" s="10">
        <v>0.22916666666666666</v>
      </c>
      <c r="D266" s="11"/>
      <c r="E266" s="11"/>
      <c r="F266" s="11"/>
      <c r="G266" s="11"/>
      <c r="H266" s="11">
        <v>30</v>
      </c>
      <c r="I266" s="3">
        <f>IF(D266="","",IFERROR(VLOOKUP(D266,Setup!$A$2:$B$60,2,FALSE),""))</f>
      </c>
      <c r="J266" s="7">
        <f>IF(I266="","",MIN(MAX(0,IF(G266="",H266,G266)),H266))</f>
      </c>
      <c r="K266" s="5">
        <f>IF(J266="","",J266/60)</f>
      </c>
      <c r="L266" s="5">
        <f>IF(J266="","",(H266-J266)/60)</f>
      </c>
      <c r="M266" s="5">
        <f>IF(I266="Y",K266,0)</f>
      </c>
      <c r="N266" s="3">
        <f>IF(I266="Y",MAX(0,N(F266)),0)</f>
      </c>
      <c r="O266" s="5">
        <f>IF(M266&gt;0,N266/M266,"")</f>
      </c>
    </row>
    <row r="267" spans="1:15" x14ac:dyDescent="0.25">
      <c r="A267" s="2">
        <v>46310</v>
      </c>
      <c r="B267" s="10">
        <v>0.22916666666666666</v>
      </c>
      <c r="C267" s="10">
        <v>0.25</v>
      </c>
      <c r="D267" s="11"/>
      <c r="E267" s="11"/>
      <c r="F267" s="11"/>
      <c r="G267" s="11"/>
      <c r="H267" s="11">
        <v>30</v>
      </c>
      <c r="I267" s="3">
        <f>IF(D267="","",IFERROR(VLOOKUP(D267,Setup!$A$2:$B$60,2,FALSE),""))</f>
      </c>
      <c r="J267" s="7">
        <f>IF(I267="","",MIN(MAX(0,IF(G267="",H267,G267)),H267))</f>
      </c>
      <c r="K267" s="5">
        <f>IF(J267="","",J267/60)</f>
      </c>
      <c r="L267" s="5">
        <f>IF(J267="","",(H267-J267)/60)</f>
      </c>
      <c r="M267" s="5">
        <f>IF(I267="Y",K267,0)</f>
      </c>
      <c r="N267" s="3">
        <f>IF(I267="Y",MAX(0,N(F267)),0)</f>
      </c>
      <c r="O267" s="5">
        <f>IF(M267&gt;0,N267/M267,"")</f>
      </c>
    </row>
    <row r="268" spans="1:15" x14ac:dyDescent="0.25">
      <c r="A268" s="2">
        <v>46310</v>
      </c>
      <c r="B268" s="10">
        <v>0.25</v>
      </c>
      <c r="C268" s="10">
        <v>0.2708333333333333</v>
      </c>
      <c r="D268" s="11"/>
      <c r="E268" s="11"/>
      <c r="F268" s="11"/>
      <c r="G268" s="11"/>
      <c r="H268" s="11">
        <v>30</v>
      </c>
      <c r="I268" s="3">
        <f>IF(D268="","",IFERROR(VLOOKUP(D268,Setup!$A$2:$B$60,2,FALSE),""))</f>
      </c>
      <c r="J268" s="7">
        <f>IF(I268="","",MIN(MAX(0,IF(G268="",H268,G268)),H268))</f>
      </c>
      <c r="K268" s="5">
        <f>IF(J268="","",J268/60)</f>
      </c>
      <c r="L268" s="5">
        <f>IF(J268="","",(H268-J268)/60)</f>
      </c>
      <c r="M268" s="5">
        <f>IF(I268="Y",K268,0)</f>
      </c>
      <c r="N268" s="3">
        <f>IF(I268="Y",MAX(0,N(F268)),0)</f>
      </c>
      <c r="O268" s="5">
        <f>IF(M268&gt;0,N268/M268,"")</f>
      </c>
    </row>
    <row r="269" spans="1:15" x14ac:dyDescent="0.25">
      <c r="A269" s="2">
        <v>46310</v>
      </c>
      <c r="B269" s="10">
        <v>0.2708333333333333</v>
      </c>
      <c r="C269" s="10">
        <v>0.2916666666666667</v>
      </c>
      <c r="D269" s="11"/>
      <c r="E269" s="11"/>
      <c r="F269" s="11"/>
      <c r="G269" s="11"/>
      <c r="H269" s="11">
        <v>30</v>
      </c>
      <c r="I269" s="3">
        <f>IF(D269="","",IFERROR(VLOOKUP(D269,Setup!$A$2:$B$60,2,FALSE),""))</f>
      </c>
      <c r="J269" s="7">
        <f>IF(I269="","",MIN(MAX(0,IF(G269="",H269,G269)),H269))</f>
      </c>
      <c r="K269" s="5">
        <f>IF(J269="","",J269/60)</f>
      </c>
      <c r="L269" s="5">
        <f>IF(J269="","",(H269-J269)/60)</f>
      </c>
      <c r="M269" s="5">
        <f>IF(I269="Y",K269,0)</f>
      </c>
      <c r="N269" s="3">
        <f>IF(I269="Y",MAX(0,N(F269)),0)</f>
      </c>
      <c r="O269" s="5">
        <f>IF(M269&gt;0,N269/M269,"")</f>
      </c>
    </row>
    <row r="270" spans="1:15" x14ac:dyDescent="0.25">
      <c r="A270" s="2">
        <v>46310</v>
      </c>
      <c r="B270" s="10">
        <v>0.2916666666666667</v>
      </c>
      <c r="C270" s="10">
        <v>0.3125</v>
      </c>
      <c r="D270" s="11"/>
      <c r="E270" s="11"/>
      <c r="F270" s="11"/>
      <c r="G270" s="11"/>
      <c r="H270" s="11">
        <v>30</v>
      </c>
      <c r="I270" s="3">
        <f>IF(D270="","",IFERROR(VLOOKUP(D270,Setup!$A$2:$B$60,2,FALSE),""))</f>
      </c>
      <c r="J270" s="7">
        <f>IF(I270="","",MIN(MAX(0,IF(G270="",H270,G270)),H270))</f>
      </c>
      <c r="K270" s="5">
        <f>IF(J270="","",J270/60)</f>
      </c>
      <c r="L270" s="5">
        <f>IF(J270="","",(H270-J270)/60)</f>
      </c>
      <c r="M270" s="5">
        <f>IF(I270="Y",K270,0)</f>
      </c>
      <c r="N270" s="3">
        <f>IF(I270="Y",MAX(0,N(F270)),0)</f>
      </c>
      <c r="O270" s="5">
        <f>IF(M270&gt;0,N270/M270,"")</f>
      </c>
    </row>
    <row r="271" spans="1:15" x14ac:dyDescent="0.25">
      <c r="A271" s="2">
        <v>46310</v>
      </c>
      <c r="B271" s="10">
        <v>0.3125</v>
      </c>
      <c r="C271" s="10">
        <v>0.3333333333333333</v>
      </c>
      <c r="D271" s="11"/>
      <c r="E271" s="11"/>
      <c r="F271" s="11"/>
      <c r="G271" s="11"/>
      <c r="H271" s="11">
        <v>30</v>
      </c>
      <c r="I271" s="3">
        <f>IF(D271="","",IFERROR(VLOOKUP(D271,Setup!$A$2:$B$60,2,FALSE),""))</f>
      </c>
      <c r="J271" s="7">
        <f>IF(I271="","",MIN(MAX(0,IF(G271="",H271,G271)),H271))</f>
      </c>
      <c r="K271" s="5">
        <f>IF(J271="","",J271/60)</f>
      </c>
      <c r="L271" s="5">
        <f>IF(J271="","",(H271-J271)/60)</f>
      </c>
      <c r="M271" s="5">
        <f>IF(I271="Y",K271,0)</f>
      </c>
      <c r="N271" s="3">
        <f>IF(I271="Y",MAX(0,N(F271)),0)</f>
      </c>
      <c r="O271" s="5">
        <f>IF(M271&gt;0,N271/M271,"")</f>
      </c>
    </row>
    <row r="272" spans="1:15" x14ac:dyDescent="0.25">
      <c r="A272" s="2">
        <v>46311</v>
      </c>
      <c r="B272" s="10">
        <v>0.9583333333333334</v>
      </c>
      <c r="C272" s="10">
        <v>0.9791666666666666</v>
      </c>
      <c r="D272" s="11"/>
      <c r="E272" s="11"/>
      <c r="F272" s="11"/>
      <c r="G272" s="11"/>
      <c r="H272" s="11">
        <v>30</v>
      </c>
      <c r="I272" s="3">
        <f>IF(D272="","",IFERROR(VLOOKUP(D272,Setup!$A$2:$B$60,2,FALSE),""))</f>
      </c>
      <c r="J272" s="7">
        <f>IF(I272="","",MIN(MAX(0,IF(G272="",H272,G272)),H272))</f>
      </c>
      <c r="K272" s="5">
        <f>IF(J272="","",J272/60)</f>
      </c>
      <c r="L272" s="5">
        <f>IF(J272="","",(H272-J272)/60)</f>
      </c>
      <c r="M272" s="5">
        <f>IF(I272="Y",K272,0)</f>
      </c>
      <c r="N272" s="3">
        <f>IF(I272="Y",MAX(0,N(F272)),0)</f>
      </c>
      <c r="O272" s="5">
        <f>IF(M272&gt;0,N272/M272,"")</f>
      </c>
    </row>
    <row r="273" spans="1:15" x14ac:dyDescent="0.25">
      <c r="A273" s="2">
        <v>46311</v>
      </c>
      <c r="B273" s="10">
        <v>0.9791666666666666</v>
      </c>
      <c r="C273" s="10">
        <v>0</v>
      </c>
      <c r="D273" s="11"/>
      <c r="E273" s="11"/>
      <c r="F273" s="11"/>
      <c r="G273" s="11"/>
      <c r="H273" s="11">
        <v>30</v>
      </c>
      <c r="I273" s="3">
        <f>IF(D273="","",IFERROR(VLOOKUP(D273,Setup!$A$2:$B$60,2,FALSE),""))</f>
      </c>
      <c r="J273" s="7">
        <f>IF(I273="","",MIN(MAX(0,IF(G273="",H273,G273)),H273))</f>
      </c>
      <c r="K273" s="5">
        <f>IF(J273="","",J273/60)</f>
      </c>
      <c r="L273" s="5">
        <f>IF(J273="","",(H273-J273)/60)</f>
      </c>
      <c r="M273" s="5">
        <f>IF(I273="Y",K273,0)</f>
      </c>
      <c r="N273" s="3">
        <f>IF(I273="Y",MAX(0,N(F273)),0)</f>
      </c>
      <c r="O273" s="5">
        <f>IF(M273&gt;0,N273/M273,"")</f>
      </c>
    </row>
    <row r="274" spans="1:15" x14ac:dyDescent="0.25">
      <c r="A274" s="2">
        <v>46311</v>
      </c>
      <c r="B274" s="10">
        <v>0</v>
      </c>
      <c r="C274" s="10">
        <v>0.020833333333333332</v>
      </c>
      <c r="D274" s="11"/>
      <c r="E274" s="11"/>
      <c r="F274" s="11"/>
      <c r="G274" s="11"/>
      <c r="H274" s="11">
        <v>30</v>
      </c>
      <c r="I274" s="3">
        <f>IF(D274="","",IFERROR(VLOOKUP(D274,Setup!$A$2:$B$60,2,FALSE),""))</f>
      </c>
      <c r="J274" s="7">
        <f>IF(I274="","",MIN(MAX(0,IF(G274="",H274,G274)),H274))</f>
      </c>
      <c r="K274" s="5">
        <f>IF(J274="","",J274/60)</f>
      </c>
      <c r="L274" s="5">
        <f>IF(J274="","",(H274-J274)/60)</f>
      </c>
      <c r="M274" s="5">
        <f>IF(I274="Y",K274,0)</f>
      </c>
      <c r="N274" s="3">
        <f>IF(I274="Y",MAX(0,N(F274)),0)</f>
      </c>
      <c r="O274" s="5">
        <f>IF(M274&gt;0,N274/M274,"")</f>
      </c>
    </row>
    <row r="275" spans="1:15" x14ac:dyDescent="0.25">
      <c r="A275" s="2">
        <v>46311</v>
      </c>
      <c r="B275" s="10">
        <v>0.020833333333333332</v>
      </c>
      <c r="C275" s="10">
        <v>0.041666666666666664</v>
      </c>
      <c r="D275" s="11"/>
      <c r="E275" s="11"/>
      <c r="F275" s="11"/>
      <c r="G275" s="11"/>
      <c r="H275" s="11">
        <v>30</v>
      </c>
      <c r="I275" s="3">
        <f>IF(D275="","",IFERROR(VLOOKUP(D275,Setup!$A$2:$B$60,2,FALSE),""))</f>
      </c>
      <c r="J275" s="7">
        <f>IF(I275="","",MIN(MAX(0,IF(G275="",H275,G275)),H275))</f>
      </c>
      <c r="K275" s="5">
        <f>IF(J275="","",J275/60)</f>
      </c>
      <c r="L275" s="5">
        <f>IF(J275="","",(H275-J275)/60)</f>
      </c>
      <c r="M275" s="5">
        <f>IF(I275="Y",K275,0)</f>
      </c>
      <c r="N275" s="3">
        <f>IF(I275="Y",MAX(0,N(F275)),0)</f>
      </c>
      <c r="O275" s="5">
        <f>IF(M275&gt;0,N275/M275,"")</f>
      </c>
    </row>
    <row r="276" spans="1:15" x14ac:dyDescent="0.25">
      <c r="A276" s="2">
        <v>46311</v>
      </c>
      <c r="B276" s="10">
        <v>0.041666666666666664</v>
      </c>
      <c r="C276" s="10">
        <v>0.0625</v>
      </c>
      <c r="D276" s="11"/>
      <c r="E276" s="11"/>
      <c r="F276" s="11"/>
      <c r="G276" s="11"/>
      <c r="H276" s="11">
        <v>30</v>
      </c>
      <c r="I276" s="3">
        <f>IF(D276="","",IFERROR(VLOOKUP(D276,Setup!$A$2:$B$60,2,FALSE),""))</f>
      </c>
      <c r="J276" s="7">
        <f>IF(I276="","",MIN(MAX(0,IF(G276="",H276,G276)),H276))</f>
      </c>
      <c r="K276" s="5">
        <f>IF(J276="","",J276/60)</f>
      </c>
      <c r="L276" s="5">
        <f>IF(J276="","",(H276-J276)/60)</f>
      </c>
      <c r="M276" s="5">
        <f>IF(I276="Y",K276,0)</f>
      </c>
      <c r="N276" s="3">
        <f>IF(I276="Y",MAX(0,N(F276)),0)</f>
      </c>
      <c r="O276" s="5">
        <f>IF(M276&gt;0,N276/M276,"")</f>
      </c>
    </row>
    <row r="277" spans="1:15" x14ac:dyDescent="0.25">
      <c r="A277" s="2">
        <v>46311</v>
      </c>
      <c r="B277" s="10">
        <v>0.0625</v>
      </c>
      <c r="C277" s="10">
        <v>0.08333333333333333</v>
      </c>
      <c r="D277" s="11"/>
      <c r="E277" s="11"/>
      <c r="F277" s="11"/>
      <c r="G277" s="11"/>
      <c r="H277" s="11">
        <v>30</v>
      </c>
      <c r="I277" s="3">
        <f>IF(D277="","",IFERROR(VLOOKUP(D277,Setup!$A$2:$B$60,2,FALSE),""))</f>
      </c>
      <c r="J277" s="7">
        <f>IF(I277="","",MIN(MAX(0,IF(G277="",H277,G277)),H277))</f>
      </c>
      <c r="K277" s="5">
        <f>IF(J277="","",J277/60)</f>
      </c>
      <c r="L277" s="5">
        <f>IF(J277="","",(H277-J277)/60)</f>
      </c>
      <c r="M277" s="5">
        <f>IF(I277="Y",K277,0)</f>
      </c>
      <c r="N277" s="3">
        <f>IF(I277="Y",MAX(0,N(F277)),0)</f>
      </c>
      <c r="O277" s="5">
        <f>IF(M277&gt;0,N277/M277,"")</f>
      </c>
    </row>
    <row r="278" spans="1:15" x14ac:dyDescent="0.25">
      <c r="A278" s="2">
        <v>46311</v>
      </c>
      <c r="B278" s="10">
        <v>0.08333333333333333</v>
      </c>
      <c r="C278" s="10">
        <v>0.10416666666666667</v>
      </c>
      <c r="D278" s="11"/>
      <c r="E278" s="11"/>
      <c r="F278" s="11"/>
      <c r="G278" s="11"/>
      <c r="H278" s="11">
        <v>30</v>
      </c>
      <c r="I278" s="3">
        <f>IF(D278="","",IFERROR(VLOOKUP(D278,Setup!$A$2:$B$60,2,FALSE),""))</f>
      </c>
      <c r="J278" s="7">
        <f>IF(I278="","",MIN(MAX(0,IF(G278="",H278,G278)),H278))</f>
      </c>
      <c r="K278" s="5">
        <f>IF(J278="","",J278/60)</f>
      </c>
      <c r="L278" s="5">
        <f>IF(J278="","",(H278-J278)/60)</f>
      </c>
      <c r="M278" s="5">
        <f>IF(I278="Y",K278,0)</f>
      </c>
      <c r="N278" s="3">
        <f>IF(I278="Y",MAX(0,N(F278)),0)</f>
      </c>
      <c r="O278" s="5">
        <f>IF(M278&gt;0,N278/M278,"")</f>
      </c>
    </row>
    <row r="279" spans="1:15" x14ac:dyDescent="0.25">
      <c r="A279" s="2">
        <v>46311</v>
      </c>
      <c r="B279" s="10">
        <v>0.10416666666666667</v>
      </c>
      <c r="C279" s="10">
        <v>0.125</v>
      </c>
      <c r="D279" s="11"/>
      <c r="E279" s="11"/>
      <c r="F279" s="11"/>
      <c r="G279" s="11"/>
      <c r="H279" s="11">
        <v>30</v>
      </c>
      <c r="I279" s="3">
        <f>IF(D279="","",IFERROR(VLOOKUP(D279,Setup!$A$2:$B$60,2,FALSE),""))</f>
      </c>
      <c r="J279" s="7">
        <f>IF(I279="","",MIN(MAX(0,IF(G279="",H279,G279)),H279))</f>
      </c>
      <c r="K279" s="5">
        <f>IF(J279="","",J279/60)</f>
      </c>
      <c r="L279" s="5">
        <f>IF(J279="","",(H279-J279)/60)</f>
      </c>
      <c r="M279" s="5">
        <f>IF(I279="Y",K279,0)</f>
      </c>
      <c r="N279" s="3">
        <f>IF(I279="Y",MAX(0,N(F279)),0)</f>
      </c>
      <c r="O279" s="5">
        <f>IF(M279&gt;0,N279/M279,"")</f>
      </c>
    </row>
    <row r="280" spans="1:15" x14ac:dyDescent="0.25">
      <c r="A280" s="2">
        <v>46311</v>
      </c>
      <c r="B280" s="10">
        <v>0.125</v>
      </c>
      <c r="C280" s="10">
        <v>0.14583333333333334</v>
      </c>
      <c r="D280" s="11"/>
      <c r="E280" s="11"/>
      <c r="F280" s="11"/>
      <c r="G280" s="11"/>
      <c r="H280" s="11">
        <v>30</v>
      </c>
      <c r="I280" s="3">
        <f>IF(D280="","",IFERROR(VLOOKUP(D280,Setup!$A$2:$B$60,2,FALSE),""))</f>
      </c>
      <c r="J280" s="7">
        <f>IF(I280="","",MIN(MAX(0,IF(G280="",H280,G280)),H280))</f>
      </c>
      <c r="K280" s="5">
        <f>IF(J280="","",J280/60)</f>
      </c>
      <c r="L280" s="5">
        <f>IF(J280="","",(H280-J280)/60)</f>
      </c>
      <c r="M280" s="5">
        <f>IF(I280="Y",K280,0)</f>
      </c>
      <c r="N280" s="3">
        <f>IF(I280="Y",MAX(0,N(F280)),0)</f>
      </c>
      <c r="O280" s="5">
        <f>IF(M280&gt;0,N280/M280,"")</f>
      </c>
    </row>
    <row r="281" spans="1:15" x14ac:dyDescent="0.25">
      <c r="A281" s="2">
        <v>46311</v>
      </c>
      <c r="B281" s="10">
        <v>0.14583333333333334</v>
      </c>
      <c r="C281" s="10">
        <v>0.16666666666666666</v>
      </c>
      <c r="D281" s="11"/>
      <c r="E281" s="11"/>
      <c r="F281" s="11"/>
      <c r="G281" s="11"/>
      <c r="H281" s="11">
        <v>30</v>
      </c>
      <c r="I281" s="3">
        <f>IF(D281="","",IFERROR(VLOOKUP(D281,Setup!$A$2:$B$60,2,FALSE),""))</f>
      </c>
      <c r="J281" s="7">
        <f>IF(I281="","",MIN(MAX(0,IF(G281="",H281,G281)),H281))</f>
      </c>
      <c r="K281" s="5">
        <f>IF(J281="","",J281/60)</f>
      </c>
      <c r="L281" s="5">
        <f>IF(J281="","",(H281-J281)/60)</f>
      </c>
      <c r="M281" s="5">
        <f>IF(I281="Y",K281,0)</f>
      </c>
      <c r="N281" s="3">
        <f>IF(I281="Y",MAX(0,N(F281)),0)</f>
      </c>
      <c r="O281" s="5">
        <f>IF(M281&gt;0,N281/M281,"")</f>
      </c>
    </row>
    <row r="282" spans="1:15" x14ac:dyDescent="0.25">
      <c r="A282" s="2">
        <v>46311</v>
      </c>
      <c r="B282" s="10">
        <v>0.16666666666666666</v>
      </c>
      <c r="C282" s="10">
        <v>0.1875</v>
      </c>
      <c r="D282" s="11"/>
      <c r="E282" s="11"/>
      <c r="F282" s="11"/>
      <c r="G282" s="11"/>
      <c r="H282" s="11">
        <v>30</v>
      </c>
      <c r="I282" s="3">
        <f>IF(D282="","",IFERROR(VLOOKUP(D282,Setup!$A$2:$B$60,2,FALSE),""))</f>
      </c>
      <c r="J282" s="7">
        <f>IF(I282="","",MIN(MAX(0,IF(G282="",H282,G282)),H282))</f>
      </c>
      <c r="K282" s="5">
        <f>IF(J282="","",J282/60)</f>
      </c>
      <c r="L282" s="5">
        <f>IF(J282="","",(H282-J282)/60)</f>
      </c>
      <c r="M282" s="5">
        <f>IF(I282="Y",K282,0)</f>
      </c>
      <c r="N282" s="3">
        <f>IF(I282="Y",MAX(0,N(F282)),0)</f>
      </c>
      <c r="O282" s="5">
        <f>IF(M282&gt;0,N282/M282,"")</f>
      </c>
    </row>
    <row r="283" spans="1:15" x14ac:dyDescent="0.25">
      <c r="A283" s="2">
        <v>46311</v>
      </c>
      <c r="B283" s="10">
        <v>0.1875</v>
      </c>
      <c r="C283" s="10">
        <v>0.20833333333333334</v>
      </c>
      <c r="D283" s="11"/>
      <c r="E283" s="11"/>
      <c r="F283" s="11"/>
      <c r="G283" s="11"/>
      <c r="H283" s="11">
        <v>30</v>
      </c>
      <c r="I283" s="3">
        <f>IF(D283="","",IFERROR(VLOOKUP(D283,Setup!$A$2:$B$60,2,FALSE),""))</f>
      </c>
      <c r="J283" s="7">
        <f>IF(I283="","",MIN(MAX(0,IF(G283="",H283,G283)),H283))</f>
      </c>
      <c r="K283" s="5">
        <f>IF(J283="","",J283/60)</f>
      </c>
      <c r="L283" s="5">
        <f>IF(J283="","",(H283-J283)/60)</f>
      </c>
      <c r="M283" s="5">
        <f>IF(I283="Y",K283,0)</f>
      </c>
      <c r="N283" s="3">
        <f>IF(I283="Y",MAX(0,N(F283)),0)</f>
      </c>
      <c r="O283" s="5">
        <f>IF(M283&gt;0,N283/M283,"")</f>
      </c>
    </row>
    <row r="284" spans="1:15" x14ac:dyDescent="0.25">
      <c r="A284" s="2">
        <v>46311</v>
      </c>
      <c r="B284" s="10">
        <v>0.20833333333333334</v>
      </c>
      <c r="C284" s="10">
        <v>0.22916666666666666</v>
      </c>
      <c r="D284" s="11"/>
      <c r="E284" s="11"/>
      <c r="F284" s="11"/>
      <c r="G284" s="11"/>
      <c r="H284" s="11">
        <v>30</v>
      </c>
      <c r="I284" s="3">
        <f>IF(D284="","",IFERROR(VLOOKUP(D284,Setup!$A$2:$B$60,2,FALSE),""))</f>
      </c>
      <c r="J284" s="7">
        <f>IF(I284="","",MIN(MAX(0,IF(G284="",H284,G284)),H284))</f>
      </c>
      <c r="K284" s="5">
        <f>IF(J284="","",J284/60)</f>
      </c>
      <c r="L284" s="5">
        <f>IF(J284="","",(H284-J284)/60)</f>
      </c>
      <c r="M284" s="5">
        <f>IF(I284="Y",K284,0)</f>
      </c>
      <c r="N284" s="3">
        <f>IF(I284="Y",MAX(0,N(F284)),0)</f>
      </c>
      <c r="O284" s="5">
        <f>IF(M284&gt;0,N284/M284,"")</f>
      </c>
    </row>
    <row r="285" spans="1:15" x14ac:dyDescent="0.25">
      <c r="A285" s="2">
        <v>46311</v>
      </c>
      <c r="B285" s="10">
        <v>0.22916666666666666</v>
      </c>
      <c r="C285" s="10">
        <v>0.25</v>
      </c>
      <c r="D285" s="11"/>
      <c r="E285" s="11"/>
      <c r="F285" s="11"/>
      <c r="G285" s="11"/>
      <c r="H285" s="11">
        <v>30</v>
      </c>
      <c r="I285" s="3">
        <f>IF(D285="","",IFERROR(VLOOKUP(D285,Setup!$A$2:$B$60,2,FALSE),""))</f>
      </c>
      <c r="J285" s="7">
        <f>IF(I285="","",MIN(MAX(0,IF(G285="",H285,G285)),H285))</f>
      </c>
      <c r="K285" s="5">
        <f>IF(J285="","",J285/60)</f>
      </c>
      <c r="L285" s="5">
        <f>IF(J285="","",(H285-J285)/60)</f>
      </c>
      <c r="M285" s="5">
        <f>IF(I285="Y",K285,0)</f>
      </c>
      <c r="N285" s="3">
        <f>IF(I285="Y",MAX(0,N(F285)),0)</f>
      </c>
      <c r="O285" s="5">
        <f>IF(M285&gt;0,N285/M285,"")</f>
      </c>
    </row>
    <row r="286" spans="1:15" x14ac:dyDescent="0.25">
      <c r="A286" s="2">
        <v>46311</v>
      </c>
      <c r="B286" s="10">
        <v>0.25</v>
      </c>
      <c r="C286" s="10">
        <v>0.2708333333333333</v>
      </c>
      <c r="D286" s="11"/>
      <c r="E286" s="11"/>
      <c r="F286" s="11"/>
      <c r="G286" s="11"/>
      <c r="H286" s="11">
        <v>30</v>
      </c>
      <c r="I286" s="3">
        <f>IF(D286="","",IFERROR(VLOOKUP(D286,Setup!$A$2:$B$60,2,FALSE),""))</f>
      </c>
      <c r="J286" s="7">
        <f>IF(I286="","",MIN(MAX(0,IF(G286="",H286,G286)),H286))</f>
      </c>
      <c r="K286" s="5">
        <f>IF(J286="","",J286/60)</f>
      </c>
      <c r="L286" s="5">
        <f>IF(J286="","",(H286-J286)/60)</f>
      </c>
      <c r="M286" s="5">
        <f>IF(I286="Y",K286,0)</f>
      </c>
      <c r="N286" s="3">
        <f>IF(I286="Y",MAX(0,N(F286)),0)</f>
      </c>
      <c r="O286" s="5">
        <f>IF(M286&gt;0,N286/M286,"")</f>
      </c>
    </row>
    <row r="287" spans="1:15" x14ac:dyDescent="0.25">
      <c r="A287" s="2">
        <v>46311</v>
      </c>
      <c r="B287" s="10">
        <v>0.2708333333333333</v>
      </c>
      <c r="C287" s="10">
        <v>0.2916666666666667</v>
      </c>
      <c r="D287" s="11"/>
      <c r="E287" s="11"/>
      <c r="F287" s="11"/>
      <c r="G287" s="11"/>
      <c r="H287" s="11">
        <v>30</v>
      </c>
      <c r="I287" s="3">
        <f>IF(D287="","",IFERROR(VLOOKUP(D287,Setup!$A$2:$B$60,2,FALSE),""))</f>
      </c>
      <c r="J287" s="7">
        <f>IF(I287="","",MIN(MAX(0,IF(G287="",H287,G287)),H287))</f>
      </c>
      <c r="K287" s="5">
        <f>IF(J287="","",J287/60)</f>
      </c>
      <c r="L287" s="5">
        <f>IF(J287="","",(H287-J287)/60)</f>
      </c>
      <c r="M287" s="5">
        <f>IF(I287="Y",K287,0)</f>
      </c>
      <c r="N287" s="3">
        <f>IF(I287="Y",MAX(0,N(F287)),0)</f>
      </c>
      <c r="O287" s="5">
        <f>IF(M287&gt;0,N287/M287,"")</f>
      </c>
    </row>
    <row r="288" spans="1:15" x14ac:dyDescent="0.25">
      <c r="A288" s="2">
        <v>46311</v>
      </c>
      <c r="B288" s="10">
        <v>0.2916666666666667</v>
      </c>
      <c r="C288" s="10">
        <v>0.3125</v>
      </c>
      <c r="D288" s="11"/>
      <c r="E288" s="11"/>
      <c r="F288" s="11"/>
      <c r="G288" s="11"/>
      <c r="H288" s="11">
        <v>30</v>
      </c>
      <c r="I288" s="3">
        <f>IF(D288="","",IFERROR(VLOOKUP(D288,Setup!$A$2:$B$60,2,FALSE),""))</f>
      </c>
      <c r="J288" s="7">
        <f>IF(I288="","",MIN(MAX(0,IF(G288="",H288,G288)),H288))</f>
      </c>
      <c r="K288" s="5">
        <f>IF(J288="","",J288/60)</f>
      </c>
      <c r="L288" s="5">
        <f>IF(J288="","",(H288-J288)/60)</f>
      </c>
      <c r="M288" s="5">
        <f>IF(I288="Y",K288,0)</f>
      </c>
      <c r="N288" s="3">
        <f>IF(I288="Y",MAX(0,N(F288)),0)</f>
      </c>
      <c r="O288" s="5">
        <f>IF(M288&gt;0,N288/M288,"")</f>
      </c>
    </row>
    <row r="289" spans="1:15" x14ac:dyDescent="0.25">
      <c r="A289" s="2">
        <v>46311</v>
      </c>
      <c r="B289" s="10">
        <v>0.3125</v>
      </c>
      <c r="C289" s="10">
        <v>0.3333333333333333</v>
      </c>
      <c r="D289" s="11"/>
      <c r="E289" s="11"/>
      <c r="F289" s="11"/>
      <c r="G289" s="11"/>
      <c r="H289" s="11">
        <v>30</v>
      </c>
      <c r="I289" s="3">
        <f>IF(D289="","",IFERROR(VLOOKUP(D289,Setup!$A$2:$B$60,2,FALSE),""))</f>
      </c>
      <c r="J289" s="7">
        <f>IF(I289="","",MIN(MAX(0,IF(G289="",H289,G289)),H289))</f>
      </c>
      <c r="K289" s="5">
        <f>IF(J289="","",J289/60)</f>
      </c>
      <c r="L289" s="5">
        <f>IF(J289="","",(H289-J289)/60)</f>
      </c>
      <c r="M289" s="5">
        <f>IF(I289="Y",K289,0)</f>
      </c>
      <c r="N289" s="3">
        <f>IF(I289="Y",MAX(0,N(F289)),0)</f>
      </c>
      <c r="O289" s="5">
        <f>IF(M289&gt;0,N289/M289,"")</f>
      </c>
    </row>
    <row r="290" spans="1:15" x14ac:dyDescent="0.25">
      <c r="A290" s="2">
        <v>46312</v>
      </c>
      <c r="B290" s="10">
        <v>0.9583333333333334</v>
      </c>
      <c r="C290" s="10">
        <v>0.9791666666666666</v>
      </c>
      <c r="D290" s="11"/>
      <c r="E290" s="11"/>
      <c r="F290" s="11"/>
      <c r="G290" s="11"/>
      <c r="H290" s="11">
        <v>30</v>
      </c>
      <c r="I290" s="3">
        <f>IF(D290="","",IFERROR(VLOOKUP(D290,Setup!$A$2:$B$60,2,FALSE),""))</f>
      </c>
      <c r="J290" s="7">
        <f>IF(I290="","",MIN(MAX(0,IF(G290="",H290,G290)),H290))</f>
      </c>
      <c r="K290" s="5">
        <f>IF(J290="","",J290/60)</f>
      </c>
      <c r="L290" s="5">
        <f>IF(J290="","",(H290-J290)/60)</f>
      </c>
      <c r="M290" s="5">
        <f>IF(I290="Y",K290,0)</f>
      </c>
      <c r="N290" s="3">
        <f>IF(I290="Y",MAX(0,N(F290)),0)</f>
      </c>
      <c r="O290" s="5">
        <f>IF(M290&gt;0,N290/M290,"")</f>
      </c>
    </row>
    <row r="291" spans="1:15" x14ac:dyDescent="0.25">
      <c r="A291" s="2">
        <v>46312</v>
      </c>
      <c r="B291" s="10">
        <v>0.9791666666666666</v>
      </c>
      <c r="C291" s="10">
        <v>0</v>
      </c>
      <c r="D291" s="11"/>
      <c r="E291" s="11"/>
      <c r="F291" s="11"/>
      <c r="G291" s="11"/>
      <c r="H291" s="11">
        <v>30</v>
      </c>
      <c r="I291" s="3">
        <f>IF(D291="","",IFERROR(VLOOKUP(D291,Setup!$A$2:$B$60,2,FALSE),""))</f>
      </c>
      <c r="J291" s="7">
        <f>IF(I291="","",MIN(MAX(0,IF(G291="",H291,G291)),H291))</f>
      </c>
      <c r="K291" s="5">
        <f>IF(J291="","",J291/60)</f>
      </c>
      <c r="L291" s="5">
        <f>IF(J291="","",(H291-J291)/60)</f>
      </c>
      <c r="M291" s="5">
        <f>IF(I291="Y",K291,0)</f>
      </c>
      <c r="N291" s="3">
        <f>IF(I291="Y",MAX(0,N(F291)),0)</f>
      </c>
      <c r="O291" s="5">
        <f>IF(M291&gt;0,N291/M291,"")</f>
      </c>
    </row>
    <row r="292" spans="1:15" x14ac:dyDescent="0.25">
      <c r="A292" s="2">
        <v>46312</v>
      </c>
      <c r="B292" s="10">
        <v>0</v>
      </c>
      <c r="C292" s="10">
        <v>0.020833333333333332</v>
      </c>
      <c r="D292" s="11"/>
      <c r="E292" s="11"/>
      <c r="F292" s="11"/>
      <c r="G292" s="11"/>
      <c r="H292" s="11">
        <v>30</v>
      </c>
      <c r="I292" s="3">
        <f>IF(D292="","",IFERROR(VLOOKUP(D292,Setup!$A$2:$B$60,2,FALSE),""))</f>
      </c>
      <c r="J292" s="7">
        <f>IF(I292="","",MIN(MAX(0,IF(G292="",H292,G292)),H292))</f>
      </c>
      <c r="K292" s="5">
        <f>IF(J292="","",J292/60)</f>
      </c>
      <c r="L292" s="5">
        <f>IF(J292="","",(H292-J292)/60)</f>
      </c>
      <c r="M292" s="5">
        <f>IF(I292="Y",K292,0)</f>
      </c>
      <c r="N292" s="3">
        <f>IF(I292="Y",MAX(0,N(F292)),0)</f>
      </c>
      <c r="O292" s="5">
        <f>IF(M292&gt;0,N292/M292,"")</f>
      </c>
    </row>
    <row r="293" spans="1:15" x14ac:dyDescent="0.25">
      <c r="A293" s="2">
        <v>46312</v>
      </c>
      <c r="B293" s="10">
        <v>0.020833333333333332</v>
      </c>
      <c r="C293" s="10">
        <v>0.041666666666666664</v>
      </c>
      <c r="D293" s="11"/>
      <c r="E293" s="11"/>
      <c r="F293" s="11"/>
      <c r="G293" s="11"/>
      <c r="H293" s="11">
        <v>30</v>
      </c>
      <c r="I293" s="3">
        <f>IF(D293="","",IFERROR(VLOOKUP(D293,Setup!$A$2:$B$60,2,FALSE),""))</f>
      </c>
      <c r="J293" s="7">
        <f>IF(I293="","",MIN(MAX(0,IF(G293="",H293,G293)),H293))</f>
      </c>
      <c r="K293" s="5">
        <f>IF(J293="","",J293/60)</f>
      </c>
      <c r="L293" s="5">
        <f>IF(J293="","",(H293-J293)/60)</f>
      </c>
      <c r="M293" s="5">
        <f>IF(I293="Y",K293,0)</f>
      </c>
      <c r="N293" s="3">
        <f>IF(I293="Y",MAX(0,N(F293)),0)</f>
      </c>
      <c r="O293" s="5">
        <f>IF(M293&gt;0,N293/M293,"")</f>
      </c>
    </row>
    <row r="294" spans="1:15" x14ac:dyDescent="0.25">
      <c r="A294" s="2">
        <v>46312</v>
      </c>
      <c r="B294" s="10">
        <v>0.041666666666666664</v>
      </c>
      <c r="C294" s="10">
        <v>0.0625</v>
      </c>
      <c r="D294" s="11"/>
      <c r="E294" s="11"/>
      <c r="F294" s="11"/>
      <c r="G294" s="11"/>
      <c r="H294" s="11">
        <v>30</v>
      </c>
      <c r="I294" s="3">
        <f>IF(D294="","",IFERROR(VLOOKUP(D294,Setup!$A$2:$B$60,2,FALSE),""))</f>
      </c>
      <c r="J294" s="7">
        <f>IF(I294="","",MIN(MAX(0,IF(G294="",H294,G294)),H294))</f>
      </c>
      <c r="K294" s="5">
        <f>IF(J294="","",J294/60)</f>
      </c>
      <c r="L294" s="5">
        <f>IF(J294="","",(H294-J294)/60)</f>
      </c>
      <c r="M294" s="5">
        <f>IF(I294="Y",K294,0)</f>
      </c>
      <c r="N294" s="3">
        <f>IF(I294="Y",MAX(0,N(F294)),0)</f>
      </c>
      <c r="O294" s="5">
        <f>IF(M294&gt;0,N294/M294,"")</f>
      </c>
    </row>
    <row r="295" spans="1:15" x14ac:dyDescent="0.25">
      <c r="A295" s="2">
        <v>46312</v>
      </c>
      <c r="B295" s="10">
        <v>0.0625</v>
      </c>
      <c r="C295" s="10">
        <v>0.08333333333333333</v>
      </c>
      <c r="D295" s="11"/>
      <c r="E295" s="11"/>
      <c r="F295" s="11"/>
      <c r="G295" s="11"/>
      <c r="H295" s="11">
        <v>30</v>
      </c>
      <c r="I295" s="3">
        <f>IF(D295="","",IFERROR(VLOOKUP(D295,Setup!$A$2:$B$60,2,FALSE),""))</f>
      </c>
      <c r="J295" s="7">
        <f>IF(I295="","",MIN(MAX(0,IF(G295="",H295,G295)),H295))</f>
      </c>
      <c r="K295" s="5">
        <f>IF(J295="","",J295/60)</f>
      </c>
      <c r="L295" s="5">
        <f>IF(J295="","",(H295-J295)/60)</f>
      </c>
      <c r="M295" s="5">
        <f>IF(I295="Y",K295,0)</f>
      </c>
      <c r="N295" s="3">
        <f>IF(I295="Y",MAX(0,N(F295)),0)</f>
      </c>
      <c r="O295" s="5">
        <f>IF(M295&gt;0,N295/M295,"")</f>
      </c>
    </row>
    <row r="296" spans="1:15" x14ac:dyDescent="0.25">
      <c r="A296" s="2">
        <v>46312</v>
      </c>
      <c r="B296" s="10">
        <v>0.08333333333333333</v>
      </c>
      <c r="C296" s="10">
        <v>0.10416666666666667</v>
      </c>
      <c r="D296" s="11"/>
      <c r="E296" s="11"/>
      <c r="F296" s="11"/>
      <c r="G296" s="11"/>
      <c r="H296" s="11">
        <v>30</v>
      </c>
      <c r="I296" s="3">
        <f>IF(D296="","",IFERROR(VLOOKUP(D296,Setup!$A$2:$B$60,2,FALSE),""))</f>
      </c>
      <c r="J296" s="7">
        <f>IF(I296="","",MIN(MAX(0,IF(G296="",H296,G296)),H296))</f>
      </c>
      <c r="K296" s="5">
        <f>IF(J296="","",J296/60)</f>
      </c>
      <c r="L296" s="5">
        <f>IF(J296="","",(H296-J296)/60)</f>
      </c>
      <c r="M296" s="5">
        <f>IF(I296="Y",K296,0)</f>
      </c>
      <c r="N296" s="3">
        <f>IF(I296="Y",MAX(0,N(F296)),0)</f>
      </c>
      <c r="O296" s="5">
        <f>IF(M296&gt;0,N296/M296,"")</f>
      </c>
    </row>
    <row r="297" spans="1:15" x14ac:dyDescent="0.25">
      <c r="A297" s="2">
        <v>46312</v>
      </c>
      <c r="B297" s="10">
        <v>0.10416666666666667</v>
      </c>
      <c r="C297" s="10">
        <v>0.125</v>
      </c>
      <c r="D297" s="11"/>
      <c r="E297" s="11"/>
      <c r="F297" s="11"/>
      <c r="G297" s="11"/>
      <c r="H297" s="11">
        <v>30</v>
      </c>
      <c r="I297" s="3">
        <f>IF(D297="","",IFERROR(VLOOKUP(D297,Setup!$A$2:$B$60,2,FALSE),""))</f>
      </c>
      <c r="J297" s="7">
        <f>IF(I297="","",MIN(MAX(0,IF(G297="",H297,G297)),H297))</f>
      </c>
      <c r="K297" s="5">
        <f>IF(J297="","",J297/60)</f>
      </c>
      <c r="L297" s="5">
        <f>IF(J297="","",(H297-J297)/60)</f>
      </c>
      <c r="M297" s="5">
        <f>IF(I297="Y",K297,0)</f>
      </c>
      <c r="N297" s="3">
        <f>IF(I297="Y",MAX(0,N(F297)),0)</f>
      </c>
      <c r="O297" s="5">
        <f>IF(M297&gt;0,N297/M297,"")</f>
      </c>
    </row>
    <row r="298" spans="1:15" x14ac:dyDescent="0.25">
      <c r="A298" s="2">
        <v>46312</v>
      </c>
      <c r="B298" s="10">
        <v>0.125</v>
      </c>
      <c r="C298" s="10">
        <v>0.14583333333333334</v>
      </c>
      <c r="D298" s="11"/>
      <c r="E298" s="11"/>
      <c r="F298" s="11"/>
      <c r="G298" s="11"/>
      <c r="H298" s="11">
        <v>30</v>
      </c>
      <c r="I298" s="3">
        <f>IF(D298="","",IFERROR(VLOOKUP(D298,Setup!$A$2:$B$60,2,FALSE),""))</f>
      </c>
      <c r="J298" s="7">
        <f>IF(I298="","",MIN(MAX(0,IF(G298="",H298,G298)),H298))</f>
      </c>
      <c r="K298" s="5">
        <f>IF(J298="","",J298/60)</f>
      </c>
      <c r="L298" s="5">
        <f>IF(J298="","",(H298-J298)/60)</f>
      </c>
      <c r="M298" s="5">
        <f>IF(I298="Y",K298,0)</f>
      </c>
      <c r="N298" s="3">
        <f>IF(I298="Y",MAX(0,N(F298)),0)</f>
      </c>
      <c r="O298" s="5">
        <f>IF(M298&gt;0,N298/M298,"")</f>
      </c>
    </row>
    <row r="299" spans="1:15" x14ac:dyDescent="0.25">
      <c r="A299" s="2">
        <v>46312</v>
      </c>
      <c r="B299" s="10">
        <v>0.14583333333333334</v>
      </c>
      <c r="C299" s="10">
        <v>0.16666666666666666</v>
      </c>
      <c r="D299" s="11"/>
      <c r="E299" s="11"/>
      <c r="F299" s="11"/>
      <c r="G299" s="11"/>
      <c r="H299" s="11">
        <v>30</v>
      </c>
      <c r="I299" s="3">
        <f>IF(D299="","",IFERROR(VLOOKUP(D299,Setup!$A$2:$B$60,2,FALSE),""))</f>
      </c>
      <c r="J299" s="7">
        <f>IF(I299="","",MIN(MAX(0,IF(G299="",H299,G299)),H299))</f>
      </c>
      <c r="K299" s="5">
        <f>IF(J299="","",J299/60)</f>
      </c>
      <c r="L299" s="5">
        <f>IF(J299="","",(H299-J299)/60)</f>
      </c>
      <c r="M299" s="5">
        <f>IF(I299="Y",K299,0)</f>
      </c>
      <c r="N299" s="3">
        <f>IF(I299="Y",MAX(0,N(F299)),0)</f>
      </c>
      <c r="O299" s="5">
        <f>IF(M299&gt;0,N299/M299,"")</f>
      </c>
    </row>
    <row r="300" spans="1:15" x14ac:dyDescent="0.25">
      <c r="A300" s="2">
        <v>46312</v>
      </c>
      <c r="B300" s="10">
        <v>0.16666666666666666</v>
      </c>
      <c r="C300" s="10">
        <v>0.1875</v>
      </c>
      <c r="D300" s="11"/>
      <c r="E300" s="11"/>
      <c r="F300" s="11"/>
      <c r="G300" s="11"/>
      <c r="H300" s="11">
        <v>30</v>
      </c>
      <c r="I300" s="3">
        <f>IF(D300="","",IFERROR(VLOOKUP(D300,Setup!$A$2:$B$60,2,FALSE),""))</f>
      </c>
      <c r="J300" s="7">
        <f>IF(I300="","",MIN(MAX(0,IF(G300="",H300,G300)),H300))</f>
      </c>
      <c r="K300" s="5">
        <f>IF(J300="","",J300/60)</f>
      </c>
      <c r="L300" s="5">
        <f>IF(J300="","",(H300-J300)/60)</f>
      </c>
      <c r="M300" s="5">
        <f>IF(I300="Y",K300,0)</f>
      </c>
      <c r="N300" s="3">
        <f>IF(I300="Y",MAX(0,N(F300)),0)</f>
      </c>
      <c r="O300" s="5">
        <f>IF(M300&gt;0,N300/M300,"")</f>
      </c>
    </row>
    <row r="301" spans="1:15" x14ac:dyDescent="0.25">
      <c r="A301" s="2">
        <v>46312</v>
      </c>
      <c r="B301" s="10">
        <v>0.1875</v>
      </c>
      <c r="C301" s="10">
        <v>0.20833333333333334</v>
      </c>
      <c r="D301" s="11"/>
      <c r="E301" s="11"/>
      <c r="F301" s="11"/>
      <c r="G301" s="11"/>
      <c r="H301" s="11">
        <v>30</v>
      </c>
      <c r="I301" s="3">
        <f>IF(D301="","",IFERROR(VLOOKUP(D301,Setup!$A$2:$B$60,2,FALSE),""))</f>
      </c>
      <c r="J301" s="7">
        <f>IF(I301="","",MIN(MAX(0,IF(G301="",H301,G301)),H301))</f>
      </c>
      <c r="K301" s="5">
        <f>IF(J301="","",J301/60)</f>
      </c>
      <c r="L301" s="5">
        <f>IF(J301="","",(H301-J301)/60)</f>
      </c>
      <c r="M301" s="5">
        <f>IF(I301="Y",K301,0)</f>
      </c>
      <c r="N301" s="3">
        <f>IF(I301="Y",MAX(0,N(F301)),0)</f>
      </c>
      <c r="O301" s="5">
        <f>IF(M301&gt;0,N301/M301,"")</f>
      </c>
    </row>
    <row r="302" spans="1:15" x14ac:dyDescent="0.25">
      <c r="A302" s="2">
        <v>46312</v>
      </c>
      <c r="B302" s="10">
        <v>0.20833333333333334</v>
      </c>
      <c r="C302" s="10">
        <v>0.22916666666666666</v>
      </c>
      <c r="D302" s="11"/>
      <c r="E302" s="11"/>
      <c r="F302" s="11"/>
      <c r="G302" s="11"/>
      <c r="H302" s="11">
        <v>30</v>
      </c>
      <c r="I302" s="3">
        <f>IF(D302="","",IFERROR(VLOOKUP(D302,Setup!$A$2:$B$60,2,FALSE),""))</f>
      </c>
      <c r="J302" s="7">
        <f>IF(I302="","",MIN(MAX(0,IF(G302="",H302,G302)),H302))</f>
      </c>
      <c r="K302" s="5">
        <f>IF(J302="","",J302/60)</f>
      </c>
      <c r="L302" s="5">
        <f>IF(J302="","",(H302-J302)/60)</f>
      </c>
      <c r="M302" s="5">
        <f>IF(I302="Y",K302,0)</f>
      </c>
      <c r="N302" s="3">
        <f>IF(I302="Y",MAX(0,N(F302)),0)</f>
      </c>
      <c r="O302" s="5">
        <f>IF(M302&gt;0,N302/M302,"")</f>
      </c>
    </row>
    <row r="303" spans="1:15" x14ac:dyDescent="0.25">
      <c r="A303" s="2">
        <v>46312</v>
      </c>
      <c r="B303" s="10">
        <v>0.22916666666666666</v>
      </c>
      <c r="C303" s="10">
        <v>0.25</v>
      </c>
      <c r="D303" s="11"/>
      <c r="E303" s="11"/>
      <c r="F303" s="11"/>
      <c r="G303" s="11"/>
      <c r="H303" s="11">
        <v>30</v>
      </c>
      <c r="I303" s="3">
        <f>IF(D303="","",IFERROR(VLOOKUP(D303,Setup!$A$2:$B$60,2,FALSE),""))</f>
      </c>
      <c r="J303" s="7">
        <f>IF(I303="","",MIN(MAX(0,IF(G303="",H303,G303)),H303))</f>
      </c>
      <c r="K303" s="5">
        <f>IF(J303="","",J303/60)</f>
      </c>
      <c r="L303" s="5">
        <f>IF(J303="","",(H303-J303)/60)</f>
      </c>
      <c r="M303" s="5">
        <f>IF(I303="Y",K303,0)</f>
      </c>
      <c r="N303" s="3">
        <f>IF(I303="Y",MAX(0,N(F303)),0)</f>
      </c>
      <c r="O303" s="5">
        <f>IF(M303&gt;0,N303/M303,"")</f>
      </c>
    </row>
    <row r="304" spans="1:15" x14ac:dyDescent="0.25">
      <c r="A304" s="2">
        <v>46312</v>
      </c>
      <c r="B304" s="10">
        <v>0.25</v>
      </c>
      <c r="C304" s="10">
        <v>0.2708333333333333</v>
      </c>
      <c r="D304" s="11"/>
      <c r="E304" s="11"/>
      <c r="F304" s="11"/>
      <c r="G304" s="11"/>
      <c r="H304" s="11">
        <v>30</v>
      </c>
      <c r="I304" s="3">
        <f>IF(D304="","",IFERROR(VLOOKUP(D304,Setup!$A$2:$B$60,2,FALSE),""))</f>
      </c>
      <c r="J304" s="7">
        <f>IF(I304="","",MIN(MAX(0,IF(G304="",H304,G304)),H304))</f>
      </c>
      <c r="K304" s="5">
        <f>IF(J304="","",J304/60)</f>
      </c>
      <c r="L304" s="5">
        <f>IF(J304="","",(H304-J304)/60)</f>
      </c>
      <c r="M304" s="5">
        <f>IF(I304="Y",K304,0)</f>
      </c>
      <c r="N304" s="3">
        <f>IF(I304="Y",MAX(0,N(F304)),0)</f>
      </c>
      <c r="O304" s="5">
        <f>IF(M304&gt;0,N304/M304,"")</f>
      </c>
    </row>
    <row r="305" spans="1:15" x14ac:dyDescent="0.25">
      <c r="A305" s="2">
        <v>46312</v>
      </c>
      <c r="B305" s="10">
        <v>0.2708333333333333</v>
      </c>
      <c r="C305" s="10">
        <v>0.2916666666666667</v>
      </c>
      <c r="D305" s="11"/>
      <c r="E305" s="11"/>
      <c r="F305" s="11"/>
      <c r="G305" s="11"/>
      <c r="H305" s="11">
        <v>30</v>
      </c>
      <c r="I305" s="3">
        <f>IF(D305="","",IFERROR(VLOOKUP(D305,Setup!$A$2:$B$60,2,FALSE),""))</f>
      </c>
      <c r="J305" s="7">
        <f>IF(I305="","",MIN(MAX(0,IF(G305="",H305,G305)),H305))</f>
      </c>
      <c r="K305" s="5">
        <f>IF(J305="","",J305/60)</f>
      </c>
      <c r="L305" s="5">
        <f>IF(J305="","",(H305-J305)/60)</f>
      </c>
      <c r="M305" s="5">
        <f>IF(I305="Y",K305,0)</f>
      </c>
      <c r="N305" s="3">
        <f>IF(I305="Y",MAX(0,N(F305)),0)</f>
      </c>
      <c r="O305" s="5">
        <f>IF(M305&gt;0,N305/M305,"")</f>
      </c>
    </row>
    <row r="306" spans="1:15" x14ac:dyDescent="0.25">
      <c r="A306" s="2">
        <v>46312</v>
      </c>
      <c r="B306" s="10">
        <v>0.2916666666666667</v>
      </c>
      <c r="C306" s="10">
        <v>0.3125</v>
      </c>
      <c r="D306" s="11"/>
      <c r="E306" s="11"/>
      <c r="F306" s="11"/>
      <c r="G306" s="11"/>
      <c r="H306" s="11">
        <v>30</v>
      </c>
      <c r="I306" s="3">
        <f>IF(D306="","",IFERROR(VLOOKUP(D306,Setup!$A$2:$B$60,2,FALSE),""))</f>
      </c>
      <c r="J306" s="7">
        <f>IF(I306="","",MIN(MAX(0,IF(G306="",H306,G306)),H306))</f>
      </c>
      <c r="K306" s="5">
        <f>IF(J306="","",J306/60)</f>
      </c>
      <c r="L306" s="5">
        <f>IF(J306="","",(H306-J306)/60)</f>
      </c>
      <c r="M306" s="5">
        <f>IF(I306="Y",K306,0)</f>
      </c>
      <c r="N306" s="3">
        <f>IF(I306="Y",MAX(0,N(F306)),0)</f>
      </c>
      <c r="O306" s="5">
        <f>IF(M306&gt;0,N306/M306,"")</f>
      </c>
    </row>
    <row r="307" spans="1:15" x14ac:dyDescent="0.25">
      <c r="A307" s="2">
        <v>46312</v>
      </c>
      <c r="B307" s="10">
        <v>0.3125</v>
      </c>
      <c r="C307" s="10">
        <v>0.3333333333333333</v>
      </c>
      <c r="D307" s="11"/>
      <c r="E307" s="11"/>
      <c r="F307" s="11"/>
      <c r="G307" s="11"/>
      <c r="H307" s="11">
        <v>30</v>
      </c>
      <c r="I307" s="3">
        <f>IF(D307="","",IFERROR(VLOOKUP(D307,Setup!$A$2:$B$60,2,FALSE),""))</f>
      </c>
      <c r="J307" s="7">
        <f>IF(I307="","",MIN(MAX(0,IF(G307="",H307,G307)),H307))</f>
      </c>
      <c r="K307" s="5">
        <f>IF(J307="","",J307/60)</f>
      </c>
      <c r="L307" s="5">
        <f>IF(J307="","",(H307-J307)/60)</f>
      </c>
      <c r="M307" s="5">
        <f>IF(I307="Y",K307,0)</f>
      </c>
      <c r="N307" s="3">
        <f>IF(I307="Y",MAX(0,N(F307)),0)</f>
      </c>
      <c r="O307" s="5">
        <f>IF(M307&gt;0,N307/M307,"")</f>
      </c>
    </row>
    <row r="308" spans="1:15" x14ac:dyDescent="0.25">
      <c r="A308" s="2">
        <v>46313</v>
      </c>
      <c r="B308" s="10">
        <v>0.9583333333333334</v>
      </c>
      <c r="C308" s="10">
        <v>0.9791666666666666</v>
      </c>
      <c r="D308" s="11"/>
      <c r="E308" s="11"/>
      <c r="F308" s="11"/>
      <c r="G308" s="11"/>
      <c r="H308" s="11">
        <v>30</v>
      </c>
      <c r="I308" s="3">
        <f>IF(D308="","",IFERROR(VLOOKUP(D308,Setup!$A$2:$B$60,2,FALSE),""))</f>
      </c>
      <c r="J308" s="7">
        <f>IF(I308="","",MIN(MAX(0,IF(G308="",H308,G308)),H308))</f>
      </c>
      <c r="K308" s="5">
        <f>IF(J308="","",J308/60)</f>
      </c>
      <c r="L308" s="5">
        <f>IF(J308="","",(H308-J308)/60)</f>
      </c>
      <c r="M308" s="5">
        <f>IF(I308="Y",K308,0)</f>
      </c>
      <c r="N308" s="3">
        <f>IF(I308="Y",MAX(0,N(F308)),0)</f>
      </c>
      <c r="O308" s="5">
        <f>IF(M308&gt;0,N308/M308,"")</f>
      </c>
    </row>
    <row r="309" spans="1:15" x14ac:dyDescent="0.25">
      <c r="A309" s="2">
        <v>46313</v>
      </c>
      <c r="B309" s="10">
        <v>0.9791666666666666</v>
      </c>
      <c r="C309" s="10">
        <v>0</v>
      </c>
      <c r="D309" s="11"/>
      <c r="E309" s="11"/>
      <c r="F309" s="11"/>
      <c r="G309" s="11"/>
      <c r="H309" s="11">
        <v>30</v>
      </c>
      <c r="I309" s="3">
        <f>IF(D309="","",IFERROR(VLOOKUP(D309,Setup!$A$2:$B$60,2,FALSE),""))</f>
      </c>
      <c r="J309" s="7">
        <f>IF(I309="","",MIN(MAX(0,IF(G309="",H309,G309)),H309))</f>
      </c>
      <c r="K309" s="5">
        <f>IF(J309="","",J309/60)</f>
      </c>
      <c r="L309" s="5">
        <f>IF(J309="","",(H309-J309)/60)</f>
      </c>
      <c r="M309" s="5">
        <f>IF(I309="Y",K309,0)</f>
      </c>
      <c r="N309" s="3">
        <f>IF(I309="Y",MAX(0,N(F309)),0)</f>
      </c>
      <c r="O309" s="5">
        <f>IF(M309&gt;0,N309/M309,"")</f>
      </c>
    </row>
    <row r="310" spans="1:15" x14ac:dyDescent="0.25">
      <c r="A310" s="2">
        <v>46313</v>
      </c>
      <c r="B310" s="10">
        <v>0</v>
      </c>
      <c r="C310" s="10">
        <v>0.020833333333333332</v>
      </c>
      <c r="D310" s="11"/>
      <c r="E310" s="11"/>
      <c r="F310" s="11"/>
      <c r="G310" s="11"/>
      <c r="H310" s="11">
        <v>30</v>
      </c>
      <c r="I310" s="3">
        <f>IF(D310="","",IFERROR(VLOOKUP(D310,Setup!$A$2:$B$60,2,FALSE),""))</f>
      </c>
      <c r="J310" s="7">
        <f>IF(I310="","",MIN(MAX(0,IF(G310="",H310,G310)),H310))</f>
      </c>
      <c r="K310" s="5">
        <f>IF(J310="","",J310/60)</f>
      </c>
      <c r="L310" s="5">
        <f>IF(J310="","",(H310-J310)/60)</f>
      </c>
      <c r="M310" s="5">
        <f>IF(I310="Y",K310,0)</f>
      </c>
      <c r="N310" s="3">
        <f>IF(I310="Y",MAX(0,N(F310)),0)</f>
      </c>
      <c r="O310" s="5">
        <f>IF(M310&gt;0,N310/M310,"")</f>
      </c>
    </row>
    <row r="311" spans="1:15" x14ac:dyDescent="0.25">
      <c r="A311" s="2">
        <v>46313</v>
      </c>
      <c r="B311" s="10">
        <v>0.020833333333333332</v>
      </c>
      <c r="C311" s="10">
        <v>0.041666666666666664</v>
      </c>
      <c r="D311" s="11"/>
      <c r="E311" s="11"/>
      <c r="F311" s="11"/>
      <c r="G311" s="11"/>
      <c r="H311" s="11">
        <v>30</v>
      </c>
      <c r="I311" s="3">
        <f>IF(D311="","",IFERROR(VLOOKUP(D311,Setup!$A$2:$B$60,2,FALSE),""))</f>
      </c>
      <c r="J311" s="7">
        <f>IF(I311="","",MIN(MAX(0,IF(G311="",H311,G311)),H311))</f>
      </c>
      <c r="K311" s="5">
        <f>IF(J311="","",J311/60)</f>
      </c>
      <c r="L311" s="5">
        <f>IF(J311="","",(H311-J311)/60)</f>
      </c>
      <c r="M311" s="5">
        <f>IF(I311="Y",K311,0)</f>
      </c>
      <c r="N311" s="3">
        <f>IF(I311="Y",MAX(0,N(F311)),0)</f>
      </c>
      <c r="O311" s="5">
        <f>IF(M311&gt;0,N311/M311,"")</f>
      </c>
    </row>
    <row r="312" spans="1:15" x14ac:dyDescent="0.25">
      <c r="A312" s="2">
        <v>46313</v>
      </c>
      <c r="B312" s="10">
        <v>0.041666666666666664</v>
      </c>
      <c r="C312" s="10">
        <v>0.0625</v>
      </c>
      <c r="D312" s="11"/>
      <c r="E312" s="11"/>
      <c r="F312" s="11"/>
      <c r="G312" s="11"/>
      <c r="H312" s="11">
        <v>30</v>
      </c>
      <c r="I312" s="3">
        <f>IF(D312="","",IFERROR(VLOOKUP(D312,Setup!$A$2:$B$60,2,FALSE),""))</f>
      </c>
      <c r="J312" s="7">
        <f>IF(I312="","",MIN(MAX(0,IF(G312="",H312,G312)),H312))</f>
      </c>
      <c r="K312" s="5">
        <f>IF(J312="","",J312/60)</f>
      </c>
      <c r="L312" s="5">
        <f>IF(J312="","",(H312-J312)/60)</f>
      </c>
      <c r="M312" s="5">
        <f>IF(I312="Y",K312,0)</f>
      </c>
      <c r="N312" s="3">
        <f>IF(I312="Y",MAX(0,N(F312)),0)</f>
      </c>
      <c r="O312" s="5">
        <f>IF(M312&gt;0,N312/M312,"")</f>
      </c>
    </row>
    <row r="313" spans="1:15" x14ac:dyDescent="0.25">
      <c r="A313" s="2">
        <v>46313</v>
      </c>
      <c r="B313" s="10">
        <v>0.0625</v>
      </c>
      <c r="C313" s="10">
        <v>0.08333333333333333</v>
      </c>
      <c r="D313" s="11"/>
      <c r="E313" s="11"/>
      <c r="F313" s="11"/>
      <c r="G313" s="11"/>
      <c r="H313" s="11">
        <v>30</v>
      </c>
      <c r="I313" s="3">
        <f>IF(D313="","",IFERROR(VLOOKUP(D313,Setup!$A$2:$B$60,2,FALSE),""))</f>
      </c>
      <c r="J313" s="7">
        <f>IF(I313="","",MIN(MAX(0,IF(G313="",H313,G313)),H313))</f>
      </c>
      <c r="K313" s="5">
        <f>IF(J313="","",J313/60)</f>
      </c>
      <c r="L313" s="5">
        <f>IF(J313="","",(H313-J313)/60)</f>
      </c>
      <c r="M313" s="5">
        <f>IF(I313="Y",K313,0)</f>
      </c>
      <c r="N313" s="3">
        <f>IF(I313="Y",MAX(0,N(F313)),0)</f>
      </c>
      <c r="O313" s="5">
        <f>IF(M313&gt;0,N313/M313,"")</f>
      </c>
    </row>
    <row r="314" spans="1:15" x14ac:dyDescent="0.25">
      <c r="A314" s="2">
        <v>46313</v>
      </c>
      <c r="B314" s="10">
        <v>0.08333333333333333</v>
      </c>
      <c r="C314" s="10">
        <v>0.10416666666666667</v>
      </c>
      <c r="D314" s="11"/>
      <c r="E314" s="11"/>
      <c r="F314" s="11"/>
      <c r="G314" s="11"/>
      <c r="H314" s="11">
        <v>30</v>
      </c>
      <c r="I314" s="3">
        <f>IF(D314="","",IFERROR(VLOOKUP(D314,Setup!$A$2:$B$60,2,FALSE),""))</f>
      </c>
      <c r="J314" s="7">
        <f>IF(I314="","",MIN(MAX(0,IF(G314="",H314,G314)),H314))</f>
      </c>
      <c r="K314" s="5">
        <f>IF(J314="","",J314/60)</f>
      </c>
      <c r="L314" s="5">
        <f>IF(J314="","",(H314-J314)/60)</f>
      </c>
      <c r="M314" s="5">
        <f>IF(I314="Y",K314,0)</f>
      </c>
      <c r="N314" s="3">
        <f>IF(I314="Y",MAX(0,N(F314)),0)</f>
      </c>
      <c r="O314" s="5">
        <f>IF(M314&gt;0,N314/M314,"")</f>
      </c>
    </row>
    <row r="315" spans="1:15" x14ac:dyDescent="0.25">
      <c r="A315" s="2">
        <v>46313</v>
      </c>
      <c r="B315" s="10">
        <v>0.10416666666666667</v>
      </c>
      <c r="C315" s="10">
        <v>0.125</v>
      </c>
      <c r="D315" s="11"/>
      <c r="E315" s="11"/>
      <c r="F315" s="11"/>
      <c r="G315" s="11"/>
      <c r="H315" s="11">
        <v>30</v>
      </c>
      <c r="I315" s="3">
        <f>IF(D315="","",IFERROR(VLOOKUP(D315,Setup!$A$2:$B$60,2,FALSE),""))</f>
      </c>
      <c r="J315" s="7">
        <f>IF(I315="","",MIN(MAX(0,IF(G315="",H315,G315)),H315))</f>
      </c>
      <c r="K315" s="5">
        <f>IF(J315="","",J315/60)</f>
      </c>
      <c r="L315" s="5">
        <f>IF(J315="","",(H315-J315)/60)</f>
      </c>
      <c r="M315" s="5">
        <f>IF(I315="Y",K315,0)</f>
      </c>
      <c r="N315" s="3">
        <f>IF(I315="Y",MAX(0,N(F315)),0)</f>
      </c>
      <c r="O315" s="5">
        <f>IF(M315&gt;0,N315/M315,"")</f>
      </c>
    </row>
    <row r="316" spans="1:15" x14ac:dyDescent="0.25">
      <c r="A316" s="2">
        <v>46313</v>
      </c>
      <c r="B316" s="10">
        <v>0.125</v>
      </c>
      <c r="C316" s="10">
        <v>0.14583333333333334</v>
      </c>
      <c r="D316" s="11"/>
      <c r="E316" s="11"/>
      <c r="F316" s="11"/>
      <c r="G316" s="11"/>
      <c r="H316" s="11">
        <v>30</v>
      </c>
      <c r="I316" s="3">
        <f>IF(D316="","",IFERROR(VLOOKUP(D316,Setup!$A$2:$B$60,2,FALSE),""))</f>
      </c>
      <c r="J316" s="7">
        <f>IF(I316="","",MIN(MAX(0,IF(G316="",H316,G316)),H316))</f>
      </c>
      <c r="K316" s="5">
        <f>IF(J316="","",J316/60)</f>
      </c>
      <c r="L316" s="5">
        <f>IF(J316="","",(H316-J316)/60)</f>
      </c>
      <c r="M316" s="5">
        <f>IF(I316="Y",K316,0)</f>
      </c>
      <c r="N316" s="3">
        <f>IF(I316="Y",MAX(0,N(F316)),0)</f>
      </c>
      <c r="O316" s="5">
        <f>IF(M316&gt;0,N316/M316,"")</f>
      </c>
    </row>
    <row r="317" spans="1:15" x14ac:dyDescent="0.25">
      <c r="A317" s="2">
        <v>46313</v>
      </c>
      <c r="B317" s="10">
        <v>0.14583333333333334</v>
      </c>
      <c r="C317" s="10">
        <v>0.16666666666666666</v>
      </c>
      <c r="D317" s="11"/>
      <c r="E317" s="11"/>
      <c r="F317" s="11"/>
      <c r="G317" s="11"/>
      <c r="H317" s="11">
        <v>30</v>
      </c>
      <c r="I317" s="3">
        <f>IF(D317="","",IFERROR(VLOOKUP(D317,Setup!$A$2:$B$60,2,FALSE),""))</f>
      </c>
      <c r="J317" s="7">
        <f>IF(I317="","",MIN(MAX(0,IF(G317="",H317,G317)),H317))</f>
      </c>
      <c r="K317" s="5">
        <f>IF(J317="","",J317/60)</f>
      </c>
      <c r="L317" s="5">
        <f>IF(J317="","",(H317-J317)/60)</f>
      </c>
      <c r="M317" s="5">
        <f>IF(I317="Y",K317,0)</f>
      </c>
      <c r="N317" s="3">
        <f>IF(I317="Y",MAX(0,N(F317)),0)</f>
      </c>
      <c r="O317" s="5">
        <f>IF(M317&gt;0,N317/M317,"")</f>
      </c>
    </row>
    <row r="318" spans="1:15" x14ac:dyDescent="0.25">
      <c r="A318" s="2">
        <v>46313</v>
      </c>
      <c r="B318" s="10">
        <v>0.16666666666666666</v>
      </c>
      <c r="C318" s="10">
        <v>0.1875</v>
      </c>
      <c r="D318" s="11"/>
      <c r="E318" s="11"/>
      <c r="F318" s="11"/>
      <c r="G318" s="11"/>
      <c r="H318" s="11">
        <v>30</v>
      </c>
      <c r="I318" s="3">
        <f>IF(D318="","",IFERROR(VLOOKUP(D318,Setup!$A$2:$B$60,2,FALSE),""))</f>
      </c>
      <c r="J318" s="7">
        <f>IF(I318="","",MIN(MAX(0,IF(G318="",H318,G318)),H318))</f>
      </c>
      <c r="K318" s="5">
        <f>IF(J318="","",J318/60)</f>
      </c>
      <c r="L318" s="5">
        <f>IF(J318="","",(H318-J318)/60)</f>
      </c>
      <c r="M318" s="5">
        <f>IF(I318="Y",K318,0)</f>
      </c>
      <c r="N318" s="3">
        <f>IF(I318="Y",MAX(0,N(F318)),0)</f>
      </c>
      <c r="O318" s="5">
        <f>IF(M318&gt;0,N318/M318,"")</f>
      </c>
    </row>
    <row r="319" spans="1:15" x14ac:dyDescent="0.25">
      <c r="A319" s="2">
        <v>46313</v>
      </c>
      <c r="B319" s="10">
        <v>0.1875</v>
      </c>
      <c r="C319" s="10">
        <v>0.20833333333333334</v>
      </c>
      <c r="D319" s="11"/>
      <c r="E319" s="11"/>
      <c r="F319" s="11"/>
      <c r="G319" s="11"/>
      <c r="H319" s="11">
        <v>30</v>
      </c>
      <c r="I319" s="3">
        <f>IF(D319="","",IFERROR(VLOOKUP(D319,Setup!$A$2:$B$60,2,FALSE),""))</f>
      </c>
      <c r="J319" s="7">
        <f>IF(I319="","",MIN(MAX(0,IF(G319="",H319,G319)),H319))</f>
      </c>
      <c r="K319" s="5">
        <f>IF(J319="","",J319/60)</f>
      </c>
      <c r="L319" s="5">
        <f>IF(J319="","",(H319-J319)/60)</f>
      </c>
      <c r="M319" s="5">
        <f>IF(I319="Y",K319,0)</f>
      </c>
      <c r="N319" s="3">
        <f>IF(I319="Y",MAX(0,N(F319)),0)</f>
      </c>
      <c r="O319" s="5">
        <f>IF(M319&gt;0,N319/M319,"")</f>
      </c>
    </row>
    <row r="320" spans="1:15" x14ac:dyDescent="0.25">
      <c r="A320" s="2">
        <v>46313</v>
      </c>
      <c r="B320" s="10">
        <v>0.20833333333333334</v>
      </c>
      <c r="C320" s="10">
        <v>0.22916666666666666</v>
      </c>
      <c r="D320" s="11"/>
      <c r="E320" s="11"/>
      <c r="F320" s="11"/>
      <c r="G320" s="11"/>
      <c r="H320" s="11">
        <v>30</v>
      </c>
      <c r="I320" s="3">
        <f>IF(D320="","",IFERROR(VLOOKUP(D320,Setup!$A$2:$B$60,2,FALSE),""))</f>
      </c>
      <c r="J320" s="7">
        <f>IF(I320="","",MIN(MAX(0,IF(G320="",H320,G320)),H320))</f>
      </c>
      <c r="K320" s="5">
        <f>IF(J320="","",J320/60)</f>
      </c>
      <c r="L320" s="5">
        <f>IF(J320="","",(H320-J320)/60)</f>
      </c>
      <c r="M320" s="5">
        <f>IF(I320="Y",K320,0)</f>
      </c>
      <c r="N320" s="3">
        <f>IF(I320="Y",MAX(0,N(F320)),0)</f>
      </c>
      <c r="O320" s="5">
        <f>IF(M320&gt;0,N320/M320,"")</f>
      </c>
    </row>
    <row r="321" spans="1:15" x14ac:dyDescent="0.25">
      <c r="A321" s="2">
        <v>46313</v>
      </c>
      <c r="B321" s="10">
        <v>0.22916666666666666</v>
      </c>
      <c r="C321" s="10">
        <v>0.25</v>
      </c>
      <c r="D321" s="11"/>
      <c r="E321" s="11"/>
      <c r="F321" s="11"/>
      <c r="G321" s="11"/>
      <c r="H321" s="11">
        <v>30</v>
      </c>
      <c r="I321" s="3">
        <f>IF(D321="","",IFERROR(VLOOKUP(D321,Setup!$A$2:$B$60,2,FALSE),""))</f>
      </c>
      <c r="J321" s="7">
        <f>IF(I321="","",MIN(MAX(0,IF(G321="",H321,G321)),H321))</f>
      </c>
      <c r="K321" s="5">
        <f>IF(J321="","",J321/60)</f>
      </c>
      <c r="L321" s="5">
        <f>IF(J321="","",(H321-J321)/60)</f>
      </c>
      <c r="M321" s="5">
        <f>IF(I321="Y",K321,0)</f>
      </c>
      <c r="N321" s="3">
        <f>IF(I321="Y",MAX(0,N(F321)),0)</f>
      </c>
      <c r="O321" s="5">
        <f>IF(M321&gt;0,N321/M321,"")</f>
      </c>
    </row>
    <row r="322" spans="1:15" x14ac:dyDescent="0.25">
      <c r="A322" s="2">
        <v>46313</v>
      </c>
      <c r="B322" s="10">
        <v>0.25</v>
      </c>
      <c r="C322" s="10">
        <v>0.2708333333333333</v>
      </c>
      <c r="D322" s="11"/>
      <c r="E322" s="11"/>
      <c r="F322" s="11"/>
      <c r="G322" s="11"/>
      <c r="H322" s="11">
        <v>30</v>
      </c>
      <c r="I322" s="3">
        <f>IF(D322="","",IFERROR(VLOOKUP(D322,Setup!$A$2:$B$60,2,FALSE),""))</f>
      </c>
      <c r="J322" s="7">
        <f>IF(I322="","",MIN(MAX(0,IF(G322="",H322,G322)),H322))</f>
      </c>
      <c r="K322" s="5">
        <f>IF(J322="","",J322/60)</f>
      </c>
      <c r="L322" s="5">
        <f>IF(J322="","",(H322-J322)/60)</f>
      </c>
      <c r="M322" s="5">
        <f>IF(I322="Y",K322,0)</f>
      </c>
      <c r="N322" s="3">
        <f>IF(I322="Y",MAX(0,N(F322)),0)</f>
      </c>
      <c r="O322" s="5">
        <f>IF(M322&gt;0,N322/M322,"")</f>
      </c>
    </row>
    <row r="323" spans="1:15" x14ac:dyDescent="0.25">
      <c r="A323" s="2">
        <v>46313</v>
      </c>
      <c r="B323" s="10">
        <v>0.2708333333333333</v>
      </c>
      <c r="C323" s="10">
        <v>0.2916666666666667</v>
      </c>
      <c r="D323" s="11"/>
      <c r="E323" s="11"/>
      <c r="F323" s="11"/>
      <c r="G323" s="11"/>
      <c r="H323" s="11">
        <v>30</v>
      </c>
      <c r="I323" s="3">
        <f>IF(D323="","",IFERROR(VLOOKUP(D323,Setup!$A$2:$B$60,2,FALSE),""))</f>
      </c>
      <c r="J323" s="7">
        <f>IF(I323="","",MIN(MAX(0,IF(G323="",H323,G323)),H323))</f>
      </c>
      <c r="K323" s="5">
        <f>IF(J323="","",J323/60)</f>
      </c>
      <c r="L323" s="5">
        <f>IF(J323="","",(H323-J323)/60)</f>
      </c>
      <c r="M323" s="5">
        <f>IF(I323="Y",K323,0)</f>
      </c>
      <c r="N323" s="3">
        <f>IF(I323="Y",MAX(0,N(F323)),0)</f>
      </c>
      <c r="O323" s="5">
        <f>IF(M323&gt;0,N323/M323,"")</f>
      </c>
    </row>
    <row r="324" spans="1:15" x14ac:dyDescent="0.25">
      <c r="A324" s="2">
        <v>46313</v>
      </c>
      <c r="B324" s="10">
        <v>0.2916666666666667</v>
      </c>
      <c r="C324" s="10">
        <v>0.3125</v>
      </c>
      <c r="D324" s="11"/>
      <c r="E324" s="11"/>
      <c r="F324" s="11"/>
      <c r="G324" s="11"/>
      <c r="H324" s="11">
        <v>30</v>
      </c>
      <c r="I324" s="3">
        <f>IF(D324="","",IFERROR(VLOOKUP(D324,Setup!$A$2:$B$60,2,FALSE),""))</f>
      </c>
      <c r="J324" s="7">
        <f>IF(I324="","",MIN(MAX(0,IF(G324="",H324,G324)),H324))</f>
      </c>
      <c r="K324" s="5">
        <f>IF(J324="","",J324/60)</f>
      </c>
      <c r="L324" s="5">
        <f>IF(J324="","",(H324-J324)/60)</f>
      </c>
      <c r="M324" s="5">
        <f>IF(I324="Y",K324,0)</f>
      </c>
      <c r="N324" s="3">
        <f>IF(I324="Y",MAX(0,N(F324)),0)</f>
      </c>
      <c r="O324" s="5">
        <f>IF(M324&gt;0,N324/M324,"")</f>
      </c>
    </row>
    <row r="325" spans="1:15" x14ac:dyDescent="0.25">
      <c r="A325" s="2">
        <v>46313</v>
      </c>
      <c r="B325" s="10">
        <v>0.3125</v>
      </c>
      <c r="C325" s="10">
        <v>0.3333333333333333</v>
      </c>
      <c r="D325" s="11"/>
      <c r="E325" s="11"/>
      <c r="F325" s="11"/>
      <c r="G325" s="11"/>
      <c r="H325" s="11">
        <v>30</v>
      </c>
      <c r="I325" s="3">
        <f>IF(D325="","",IFERROR(VLOOKUP(D325,Setup!$A$2:$B$60,2,FALSE),""))</f>
      </c>
      <c r="J325" s="7">
        <f>IF(I325="","",MIN(MAX(0,IF(G325="",H325,G325)),H325))</f>
      </c>
      <c r="K325" s="5">
        <f>IF(J325="","",J325/60)</f>
      </c>
      <c r="L325" s="5">
        <f>IF(J325="","",(H325-J325)/60)</f>
      </c>
      <c r="M325" s="5">
        <f>IF(I325="Y",K325,0)</f>
      </c>
      <c r="N325" s="3">
        <f>IF(I325="Y",MAX(0,N(F325)),0)</f>
      </c>
      <c r="O325" s="5">
        <f>IF(M325&gt;0,N325/M325,"")</f>
      </c>
    </row>
    <row r="326" spans="1:15" x14ac:dyDescent="0.25">
      <c r="A326" s="2">
        <v>46314</v>
      </c>
      <c r="B326" s="10">
        <v>0.9583333333333334</v>
      </c>
      <c r="C326" s="10">
        <v>0.9791666666666666</v>
      </c>
      <c r="D326" s="11"/>
      <c r="E326" s="11"/>
      <c r="F326" s="11"/>
      <c r="G326" s="11"/>
      <c r="H326" s="11">
        <v>30</v>
      </c>
      <c r="I326" s="3">
        <f>IF(D326="","",IFERROR(VLOOKUP(D326,Setup!$A$2:$B$60,2,FALSE),""))</f>
      </c>
      <c r="J326" s="7">
        <f>IF(I326="","",MIN(MAX(0,IF(G326="",H326,G326)),H326))</f>
      </c>
      <c r="K326" s="5">
        <f>IF(J326="","",J326/60)</f>
      </c>
      <c r="L326" s="5">
        <f>IF(J326="","",(H326-J326)/60)</f>
      </c>
      <c r="M326" s="5">
        <f>IF(I326="Y",K326,0)</f>
      </c>
      <c r="N326" s="3">
        <f>IF(I326="Y",MAX(0,N(F326)),0)</f>
      </c>
      <c r="O326" s="5">
        <f>IF(M326&gt;0,N326/M326,"")</f>
      </c>
    </row>
    <row r="327" spans="1:15" x14ac:dyDescent="0.25">
      <c r="A327" s="2">
        <v>46314</v>
      </c>
      <c r="B327" s="10">
        <v>0.9791666666666666</v>
      </c>
      <c r="C327" s="10">
        <v>0</v>
      </c>
      <c r="D327" s="11"/>
      <c r="E327" s="11"/>
      <c r="F327" s="11"/>
      <c r="G327" s="11"/>
      <c r="H327" s="11">
        <v>30</v>
      </c>
      <c r="I327" s="3">
        <f>IF(D327="","",IFERROR(VLOOKUP(D327,Setup!$A$2:$B$60,2,FALSE),""))</f>
      </c>
      <c r="J327" s="7">
        <f>IF(I327="","",MIN(MAX(0,IF(G327="",H327,G327)),H327))</f>
      </c>
      <c r="K327" s="5">
        <f>IF(J327="","",J327/60)</f>
      </c>
      <c r="L327" s="5">
        <f>IF(J327="","",(H327-J327)/60)</f>
      </c>
      <c r="M327" s="5">
        <f>IF(I327="Y",K327,0)</f>
      </c>
      <c r="N327" s="3">
        <f>IF(I327="Y",MAX(0,N(F327)),0)</f>
      </c>
      <c r="O327" s="5">
        <f>IF(M327&gt;0,N327/M327,"")</f>
      </c>
    </row>
    <row r="328" spans="1:15" x14ac:dyDescent="0.25">
      <c r="A328" s="2">
        <v>46314</v>
      </c>
      <c r="B328" s="10">
        <v>0</v>
      </c>
      <c r="C328" s="10">
        <v>0.020833333333333332</v>
      </c>
      <c r="D328" s="11"/>
      <c r="E328" s="11"/>
      <c r="F328" s="11"/>
      <c r="G328" s="11"/>
      <c r="H328" s="11">
        <v>30</v>
      </c>
      <c r="I328" s="3">
        <f>IF(D328="","",IFERROR(VLOOKUP(D328,Setup!$A$2:$B$60,2,FALSE),""))</f>
      </c>
      <c r="J328" s="7">
        <f>IF(I328="","",MIN(MAX(0,IF(G328="",H328,G328)),H328))</f>
      </c>
      <c r="K328" s="5">
        <f>IF(J328="","",J328/60)</f>
      </c>
      <c r="L328" s="5">
        <f>IF(J328="","",(H328-J328)/60)</f>
      </c>
      <c r="M328" s="5">
        <f>IF(I328="Y",K328,0)</f>
      </c>
      <c r="N328" s="3">
        <f>IF(I328="Y",MAX(0,N(F328)),0)</f>
      </c>
      <c r="O328" s="5">
        <f>IF(M328&gt;0,N328/M328,"")</f>
      </c>
    </row>
    <row r="329" spans="1:15" x14ac:dyDescent="0.25">
      <c r="A329" s="2">
        <v>46314</v>
      </c>
      <c r="B329" s="10">
        <v>0.020833333333333332</v>
      </c>
      <c r="C329" s="10">
        <v>0.041666666666666664</v>
      </c>
      <c r="D329" s="11"/>
      <c r="E329" s="11"/>
      <c r="F329" s="11"/>
      <c r="G329" s="11"/>
      <c r="H329" s="11">
        <v>30</v>
      </c>
      <c r="I329" s="3">
        <f>IF(D329="","",IFERROR(VLOOKUP(D329,Setup!$A$2:$B$60,2,FALSE),""))</f>
      </c>
      <c r="J329" s="7">
        <f>IF(I329="","",MIN(MAX(0,IF(G329="",H329,G329)),H329))</f>
      </c>
      <c r="K329" s="5">
        <f>IF(J329="","",J329/60)</f>
      </c>
      <c r="L329" s="5">
        <f>IF(J329="","",(H329-J329)/60)</f>
      </c>
      <c r="M329" s="5">
        <f>IF(I329="Y",K329,0)</f>
      </c>
      <c r="N329" s="3">
        <f>IF(I329="Y",MAX(0,N(F329)),0)</f>
      </c>
      <c r="O329" s="5">
        <f>IF(M329&gt;0,N329/M329,"")</f>
      </c>
    </row>
    <row r="330" spans="1:15" x14ac:dyDescent="0.25">
      <c r="A330" s="2">
        <v>46314</v>
      </c>
      <c r="B330" s="10">
        <v>0.041666666666666664</v>
      </c>
      <c r="C330" s="10">
        <v>0.0625</v>
      </c>
      <c r="D330" s="11"/>
      <c r="E330" s="11"/>
      <c r="F330" s="11"/>
      <c r="G330" s="11"/>
      <c r="H330" s="11">
        <v>30</v>
      </c>
      <c r="I330" s="3">
        <f>IF(D330="","",IFERROR(VLOOKUP(D330,Setup!$A$2:$B$60,2,FALSE),""))</f>
      </c>
      <c r="J330" s="7">
        <f>IF(I330="","",MIN(MAX(0,IF(G330="",H330,G330)),H330))</f>
      </c>
      <c r="K330" s="5">
        <f>IF(J330="","",J330/60)</f>
      </c>
      <c r="L330" s="5">
        <f>IF(J330="","",(H330-J330)/60)</f>
      </c>
      <c r="M330" s="5">
        <f>IF(I330="Y",K330,0)</f>
      </c>
      <c r="N330" s="3">
        <f>IF(I330="Y",MAX(0,N(F330)),0)</f>
      </c>
      <c r="O330" s="5">
        <f>IF(M330&gt;0,N330/M330,"")</f>
      </c>
    </row>
    <row r="331" spans="1:15" x14ac:dyDescent="0.25">
      <c r="A331" s="2">
        <v>46314</v>
      </c>
      <c r="B331" s="10">
        <v>0.0625</v>
      </c>
      <c r="C331" s="10">
        <v>0.08333333333333333</v>
      </c>
      <c r="D331" s="11"/>
      <c r="E331" s="11"/>
      <c r="F331" s="11"/>
      <c r="G331" s="11"/>
      <c r="H331" s="11">
        <v>30</v>
      </c>
      <c r="I331" s="3">
        <f>IF(D331="","",IFERROR(VLOOKUP(D331,Setup!$A$2:$B$60,2,FALSE),""))</f>
      </c>
      <c r="J331" s="7">
        <f>IF(I331="","",MIN(MAX(0,IF(G331="",H331,G331)),H331))</f>
      </c>
      <c r="K331" s="5">
        <f>IF(J331="","",J331/60)</f>
      </c>
      <c r="L331" s="5">
        <f>IF(J331="","",(H331-J331)/60)</f>
      </c>
      <c r="M331" s="5">
        <f>IF(I331="Y",K331,0)</f>
      </c>
      <c r="N331" s="3">
        <f>IF(I331="Y",MAX(0,N(F331)),0)</f>
      </c>
      <c r="O331" s="5">
        <f>IF(M331&gt;0,N331/M331,"")</f>
      </c>
    </row>
    <row r="332" spans="1:15" x14ac:dyDescent="0.25">
      <c r="A332" s="2">
        <v>46314</v>
      </c>
      <c r="B332" s="10">
        <v>0.08333333333333333</v>
      </c>
      <c r="C332" s="10">
        <v>0.10416666666666667</v>
      </c>
      <c r="D332" s="11"/>
      <c r="E332" s="11"/>
      <c r="F332" s="11"/>
      <c r="G332" s="11"/>
      <c r="H332" s="11">
        <v>30</v>
      </c>
      <c r="I332" s="3">
        <f>IF(D332="","",IFERROR(VLOOKUP(D332,Setup!$A$2:$B$60,2,FALSE),""))</f>
      </c>
      <c r="J332" s="7">
        <f>IF(I332="","",MIN(MAX(0,IF(G332="",H332,G332)),H332))</f>
      </c>
      <c r="K332" s="5">
        <f>IF(J332="","",J332/60)</f>
      </c>
      <c r="L332" s="5">
        <f>IF(J332="","",(H332-J332)/60)</f>
      </c>
      <c r="M332" s="5">
        <f>IF(I332="Y",K332,0)</f>
      </c>
      <c r="N332" s="3">
        <f>IF(I332="Y",MAX(0,N(F332)),0)</f>
      </c>
      <c r="O332" s="5">
        <f>IF(M332&gt;0,N332/M332,"")</f>
      </c>
    </row>
    <row r="333" spans="1:15" x14ac:dyDescent="0.25">
      <c r="A333" s="2">
        <v>46314</v>
      </c>
      <c r="B333" s="10">
        <v>0.10416666666666667</v>
      </c>
      <c r="C333" s="10">
        <v>0.125</v>
      </c>
      <c r="D333" s="11"/>
      <c r="E333" s="11"/>
      <c r="F333" s="11"/>
      <c r="G333" s="11"/>
      <c r="H333" s="11">
        <v>30</v>
      </c>
      <c r="I333" s="3">
        <f>IF(D333="","",IFERROR(VLOOKUP(D333,Setup!$A$2:$B$60,2,FALSE),""))</f>
      </c>
      <c r="J333" s="7">
        <f>IF(I333="","",MIN(MAX(0,IF(G333="",H333,G333)),H333))</f>
      </c>
      <c r="K333" s="5">
        <f>IF(J333="","",J333/60)</f>
      </c>
      <c r="L333" s="5">
        <f>IF(J333="","",(H333-J333)/60)</f>
      </c>
      <c r="M333" s="5">
        <f>IF(I333="Y",K333,0)</f>
      </c>
      <c r="N333" s="3">
        <f>IF(I333="Y",MAX(0,N(F333)),0)</f>
      </c>
      <c r="O333" s="5">
        <f>IF(M333&gt;0,N333/M333,"")</f>
      </c>
    </row>
    <row r="334" spans="1:15" x14ac:dyDescent="0.25">
      <c r="A334" s="2">
        <v>46314</v>
      </c>
      <c r="B334" s="10">
        <v>0.125</v>
      </c>
      <c r="C334" s="10">
        <v>0.14583333333333334</v>
      </c>
      <c r="D334" s="11"/>
      <c r="E334" s="11"/>
      <c r="F334" s="11"/>
      <c r="G334" s="11"/>
      <c r="H334" s="11">
        <v>30</v>
      </c>
      <c r="I334" s="3">
        <f>IF(D334="","",IFERROR(VLOOKUP(D334,Setup!$A$2:$B$60,2,FALSE),""))</f>
      </c>
      <c r="J334" s="7">
        <f>IF(I334="","",MIN(MAX(0,IF(G334="",H334,G334)),H334))</f>
      </c>
      <c r="K334" s="5">
        <f>IF(J334="","",J334/60)</f>
      </c>
      <c r="L334" s="5">
        <f>IF(J334="","",(H334-J334)/60)</f>
      </c>
      <c r="M334" s="5">
        <f>IF(I334="Y",K334,0)</f>
      </c>
      <c r="N334" s="3">
        <f>IF(I334="Y",MAX(0,N(F334)),0)</f>
      </c>
      <c r="O334" s="5">
        <f>IF(M334&gt;0,N334/M334,"")</f>
      </c>
    </row>
    <row r="335" spans="1:15" x14ac:dyDescent="0.25">
      <c r="A335" s="2">
        <v>46314</v>
      </c>
      <c r="B335" s="10">
        <v>0.14583333333333334</v>
      </c>
      <c r="C335" s="10">
        <v>0.16666666666666666</v>
      </c>
      <c r="D335" s="11"/>
      <c r="E335" s="11"/>
      <c r="F335" s="11"/>
      <c r="G335" s="11"/>
      <c r="H335" s="11">
        <v>30</v>
      </c>
      <c r="I335" s="3">
        <f>IF(D335="","",IFERROR(VLOOKUP(D335,Setup!$A$2:$B$60,2,FALSE),""))</f>
      </c>
      <c r="J335" s="7">
        <f>IF(I335="","",MIN(MAX(0,IF(G335="",H335,G335)),H335))</f>
      </c>
      <c r="K335" s="5">
        <f>IF(J335="","",J335/60)</f>
      </c>
      <c r="L335" s="5">
        <f>IF(J335="","",(H335-J335)/60)</f>
      </c>
      <c r="M335" s="5">
        <f>IF(I335="Y",K335,0)</f>
      </c>
      <c r="N335" s="3">
        <f>IF(I335="Y",MAX(0,N(F335)),0)</f>
      </c>
      <c r="O335" s="5">
        <f>IF(M335&gt;0,N335/M335,"")</f>
      </c>
    </row>
    <row r="336" spans="1:15" x14ac:dyDescent="0.25">
      <c r="A336" s="2">
        <v>46314</v>
      </c>
      <c r="B336" s="10">
        <v>0.16666666666666666</v>
      </c>
      <c r="C336" s="10">
        <v>0.1875</v>
      </c>
      <c r="D336" s="11"/>
      <c r="E336" s="11"/>
      <c r="F336" s="11"/>
      <c r="G336" s="11"/>
      <c r="H336" s="11">
        <v>30</v>
      </c>
      <c r="I336" s="3">
        <f>IF(D336="","",IFERROR(VLOOKUP(D336,Setup!$A$2:$B$60,2,FALSE),""))</f>
      </c>
      <c r="J336" s="7">
        <f>IF(I336="","",MIN(MAX(0,IF(G336="",H336,G336)),H336))</f>
      </c>
      <c r="K336" s="5">
        <f>IF(J336="","",J336/60)</f>
      </c>
      <c r="L336" s="5">
        <f>IF(J336="","",(H336-J336)/60)</f>
      </c>
      <c r="M336" s="5">
        <f>IF(I336="Y",K336,0)</f>
      </c>
      <c r="N336" s="3">
        <f>IF(I336="Y",MAX(0,N(F336)),0)</f>
      </c>
      <c r="O336" s="5">
        <f>IF(M336&gt;0,N336/M336,"")</f>
      </c>
    </row>
    <row r="337" spans="1:15" x14ac:dyDescent="0.25">
      <c r="A337" s="2">
        <v>46314</v>
      </c>
      <c r="B337" s="10">
        <v>0.1875</v>
      </c>
      <c r="C337" s="10">
        <v>0.20833333333333334</v>
      </c>
      <c r="D337" s="11"/>
      <c r="E337" s="11"/>
      <c r="F337" s="11"/>
      <c r="G337" s="11"/>
      <c r="H337" s="11">
        <v>30</v>
      </c>
      <c r="I337" s="3">
        <f>IF(D337="","",IFERROR(VLOOKUP(D337,Setup!$A$2:$B$60,2,FALSE),""))</f>
      </c>
      <c r="J337" s="7">
        <f>IF(I337="","",MIN(MAX(0,IF(G337="",H337,G337)),H337))</f>
      </c>
      <c r="K337" s="5">
        <f>IF(J337="","",J337/60)</f>
      </c>
      <c r="L337" s="5">
        <f>IF(J337="","",(H337-J337)/60)</f>
      </c>
      <c r="M337" s="5">
        <f>IF(I337="Y",K337,0)</f>
      </c>
      <c r="N337" s="3">
        <f>IF(I337="Y",MAX(0,N(F337)),0)</f>
      </c>
      <c r="O337" s="5">
        <f>IF(M337&gt;0,N337/M337,"")</f>
      </c>
    </row>
    <row r="338" spans="1:15" x14ac:dyDescent="0.25">
      <c r="A338" s="2">
        <v>46314</v>
      </c>
      <c r="B338" s="10">
        <v>0.20833333333333334</v>
      </c>
      <c r="C338" s="10">
        <v>0.22916666666666666</v>
      </c>
      <c r="D338" s="11"/>
      <c r="E338" s="11"/>
      <c r="F338" s="11"/>
      <c r="G338" s="11"/>
      <c r="H338" s="11">
        <v>30</v>
      </c>
      <c r="I338" s="3">
        <f>IF(D338="","",IFERROR(VLOOKUP(D338,Setup!$A$2:$B$60,2,FALSE),""))</f>
      </c>
      <c r="J338" s="7">
        <f>IF(I338="","",MIN(MAX(0,IF(G338="",H338,G338)),H338))</f>
      </c>
      <c r="K338" s="5">
        <f>IF(J338="","",J338/60)</f>
      </c>
      <c r="L338" s="5">
        <f>IF(J338="","",(H338-J338)/60)</f>
      </c>
      <c r="M338" s="5">
        <f>IF(I338="Y",K338,0)</f>
      </c>
      <c r="N338" s="3">
        <f>IF(I338="Y",MAX(0,N(F338)),0)</f>
      </c>
      <c r="O338" s="5">
        <f>IF(M338&gt;0,N338/M338,"")</f>
      </c>
    </row>
    <row r="339" spans="1:15" x14ac:dyDescent="0.25">
      <c r="A339" s="2">
        <v>46314</v>
      </c>
      <c r="B339" s="10">
        <v>0.22916666666666666</v>
      </c>
      <c r="C339" s="10">
        <v>0.25</v>
      </c>
      <c r="D339" s="11"/>
      <c r="E339" s="11"/>
      <c r="F339" s="11"/>
      <c r="G339" s="11"/>
      <c r="H339" s="11">
        <v>30</v>
      </c>
      <c r="I339" s="3">
        <f>IF(D339="","",IFERROR(VLOOKUP(D339,Setup!$A$2:$B$60,2,FALSE),""))</f>
      </c>
      <c r="J339" s="7">
        <f>IF(I339="","",MIN(MAX(0,IF(G339="",H339,G339)),H339))</f>
      </c>
      <c r="K339" s="5">
        <f>IF(J339="","",J339/60)</f>
      </c>
      <c r="L339" s="5">
        <f>IF(J339="","",(H339-J339)/60)</f>
      </c>
      <c r="M339" s="5">
        <f>IF(I339="Y",K339,0)</f>
      </c>
      <c r="N339" s="3">
        <f>IF(I339="Y",MAX(0,N(F339)),0)</f>
      </c>
      <c r="O339" s="5">
        <f>IF(M339&gt;0,N339/M339,"")</f>
      </c>
    </row>
    <row r="340" spans="1:15" x14ac:dyDescent="0.25">
      <c r="A340" s="2">
        <v>46314</v>
      </c>
      <c r="B340" s="10">
        <v>0.25</v>
      </c>
      <c r="C340" s="10">
        <v>0.2708333333333333</v>
      </c>
      <c r="D340" s="11"/>
      <c r="E340" s="11"/>
      <c r="F340" s="11"/>
      <c r="G340" s="11"/>
      <c r="H340" s="11">
        <v>30</v>
      </c>
      <c r="I340" s="3">
        <f>IF(D340="","",IFERROR(VLOOKUP(D340,Setup!$A$2:$B$60,2,FALSE),""))</f>
      </c>
      <c r="J340" s="7">
        <f>IF(I340="","",MIN(MAX(0,IF(G340="",H340,G340)),H340))</f>
      </c>
      <c r="K340" s="5">
        <f>IF(J340="","",J340/60)</f>
      </c>
      <c r="L340" s="5">
        <f>IF(J340="","",(H340-J340)/60)</f>
      </c>
      <c r="M340" s="5">
        <f>IF(I340="Y",K340,0)</f>
      </c>
      <c r="N340" s="3">
        <f>IF(I340="Y",MAX(0,N(F340)),0)</f>
      </c>
      <c r="O340" s="5">
        <f>IF(M340&gt;0,N340/M340,"")</f>
      </c>
    </row>
    <row r="341" spans="1:15" x14ac:dyDescent="0.25">
      <c r="A341" s="2">
        <v>46314</v>
      </c>
      <c r="B341" s="10">
        <v>0.2708333333333333</v>
      </c>
      <c r="C341" s="10">
        <v>0.2916666666666667</v>
      </c>
      <c r="D341" s="11"/>
      <c r="E341" s="11"/>
      <c r="F341" s="11"/>
      <c r="G341" s="11"/>
      <c r="H341" s="11">
        <v>30</v>
      </c>
      <c r="I341" s="3">
        <f>IF(D341="","",IFERROR(VLOOKUP(D341,Setup!$A$2:$B$60,2,FALSE),""))</f>
      </c>
      <c r="J341" s="7">
        <f>IF(I341="","",MIN(MAX(0,IF(G341="",H341,G341)),H341))</f>
      </c>
      <c r="K341" s="5">
        <f>IF(J341="","",J341/60)</f>
      </c>
      <c r="L341" s="5">
        <f>IF(J341="","",(H341-J341)/60)</f>
      </c>
      <c r="M341" s="5">
        <f>IF(I341="Y",K341,0)</f>
      </c>
      <c r="N341" s="3">
        <f>IF(I341="Y",MAX(0,N(F341)),0)</f>
      </c>
      <c r="O341" s="5">
        <f>IF(M341&gt;0,N341/M341,"")</f>
      </c>
    </row>
    <row r="342" spans="1:15" x14ac:dyDescent="0.25">
      <c r="A342" s="2">
        <v>46314</v>
      </c>
      <c r="B342" s="10">
        <v>0.2916666666666667</v>
      </c>
      <c r="C342" s="10">
        <v>0.3125</v>
      </c>
      <c r="D342" s="11"/>
      <c r="E342" s="11"/>
      <c r="F342" s="11"/>
      <c r="G342" s="11"/>
      <c r="H342" s="11">
        <v>30</v>
      </c>
      <c r="I342" s="3">
        <f>IF(D342="","",IFERROR(VLOOKUP(D342,Setup!$A$2:$B$60,2,FALSE),""))</f>
      </c>
      <c r="J342" s="7">
        <f>IF(I342="","",MIN(MAX(0,IF(G342="",H342,G342)),H342))</f>
      </c>
      <c r="K342" s="5">
        <f>IF(J342="","",J342/60)</f>
      </c>
      <c r="L342" s="5">
        <f>IF(J342="","",(H342-J342)/60)</f>
      </c>
      <c r="M342" s="5">
        <f>IF(I342="Y",K342,0)</f>
      </c>
      <c r="N342" s="3">
        <f>IF(I342="Y",MAX(0,N(F342)),0)</f>
      </c>
      <c r="O342" s="5">
        <f>IF(M342&gt;0,N342/M342,"")</f>
      </c>
    </row>
    <row r="343" spans="1:15" x14ac:dyDescent="0.25">
      <c r="A343" s="2">
        <v>46314</v>
      </c>
      <c r="B343" s="10">
        <v>0.3125</v>
      </c>
      <c r="C343" s="10">
        <v>0.3333333333333333</v>
      </c>
      <c r="D343" s="11"/>
      <c r="E343" s="11"/>
      <c r="F343" s="11"/>
      <c r="G343" s="11"/>
      <c r="H343" s="11">
        <v>30</v>
      </c>
      <c r="I343" s="3">
        <f>IF(D343="","",IFERROR(VLOOKUP(D343,Setup!$A$2:$B$60,2,FALSE),""))</f>
      </c>
      <c r="J343" s="7">
        <f>IF(I343="","",MIN(MAX(0,IF(G343="",H343,G343)),H343))</f>
      </c>
      <c r="K343" s="5">
        <f>IF(J343="","",J343/60)</f>
      </c>
      <c r="L343" s="5">
        <f>IF(J343="","",(H343-J343)/60)</f>
      </c>
      <c r="M343" s="5">
        <f>IF(I343="Y",K343,0)</f>
      </c>
      <c r="N343" s="3">
        <f>IF(I343="Y",MAX(0,N(F343)),0)</f>
      </c>
      <c r="O343" s="5">
        <f>IF(M343&gt;0,N343/M343,"")</f>
      </c>
    </row>
    <row r="344" spans="1:15" x14ac:dyDescent="0.25">
      <c r="A344" s="2">
        <v>46315</v>
      </c>
      <c r="B344" s="10">
        <v>0.9583333333333334</v>
      </c>
      <c r="C344" s="10">
        <v>0.9791666666666666</v>
      </c>
      <c r="D344" s="11"/>
      <c r="E344" s="11"/>
      <c r="F344" s="11"/>
      <c r="G344" s="11"/>
      <c r="H344" s="11">
        <v>30</v>
      </c>
      <c r="I344" s="3">
        <f>IF(D344="","",IFERROR(VLOOKUP(D344,Setup!$A$2:$B$60,2,FALSE),""))</f>
      </c>
      <c r="J344" s="7">
        <f>IF(I344="","",MIN(MAX(0,IF(G344="",H344,G344)),H344))</f>
      </c>
      <c r="K344" s="5">
        <f>IF(J344="","",J344/60)</f>
      </c>
      <c r="L344" s="5">
        <f>IF(J344="","",(H344-J344)/60)</f>
      </c>
      <c r="M344" s="5">
        <f>IF(I344="Y",K344,0)</f>
      </c>
      <c r="N344" s="3">
        <f>IF(I344="Y",MAX(0,N(F344)),0)</f>
      </c>
      <c r="O344" s="5">
        <f>IF(M344&gt;0,N344/M344,"")</f>
      </c>
    </row>
    <row r="345" spans="1:15" x14ac:dyDescent="0.25">
      <c r="A345" s="2">
        <v>46315</v>
      </c>
      <c r="B345" s="10">
        <v>0.9791666666666666</v>
      </c>
      <c r="C345" s="10">
        <v>0</v>
      </c>
      <c r="D345" s="11"/>
      <c r="E345" s="11"/>
      <c r="F345" s="11"/>
      <c r="G345" s="11"/>
      <c r="H345" s="11">
        <v>30</v>
      </c>
      <c r="I345" s="3">
        <f>IF(D345="","",IFERROR(VLOOKUP(D345,Setup!$A$2:$B$60,2,FALSE),""))</f>
      </c>
      <c r="J345" s="7">
        <f>IF(I345="","",MIN(MAX(0,IF(G345="",H345,G345)),H345))</f>
      </c>
      <c r="K345" s="5">
        <f>IF(J345="","",J345/60)</f>
      </c>
      <c r="L345" s="5">
        <f>IF(J345="","",(H345-J345)/60)</f>
      </c>
      <c r="M345" s="5">
        <f>IF(I345="Y",K345,0)</f>
      </c>
      <c r="N345" s="3">
        <f>IF(I345="Y",MAX(0,N(F345)),0)</f>
      </c>
      <c r="O345" s="5">
        <f>IF(M345&gt;0,N345/M345,"")</f>
      </c>
    </row>
    <row r="346" spans="1:15" x14ac:dyDescent="0.25">
      <c r="A346" s="2">
        <v>46315</v>
      </c>
      <c r="B346" s="10">
        <v>0</v>
      </c>
      <c r="C346" s="10">
        <v>0.020833333333333332</v>
      </c>
      <c r="D346" s="11"/>
      <c r="E346" s="11"/>
      <c r="F346" s="11"/>
      <c r="G346" s="11"/>
      <c r="H346" s="11">
        <v>30</v>
      </c>
      <c r="I346" s="3">
        <f>IF(D346="","",IFERROR(VLOOKUP(D346,Setup!$A$2:$B$60,2,FALSE),""))</f>
      </c>
      <c r="J346" s="7">
        <f>IF(I346="","",MIN(MAX(0,IF(G346="",H346,G346)),H346))</f>
      </c>
      <c r="K346" s="5">
        <f>IF(J346="","",J346/60)</f>
      </c>
      <c r="L346" s="5">
        <f>IF(J346="","",(H346-J346)/60)</f>
      </c>
      <c r="M346" s="5">
        <f>IF(I346="Y",K346,0)</f>
      </c>
      <c r="N346" s="3">
        <f>IF(I346="Y",MAX(0,N(F346)),0)</f>
      </c>
      <c r="O346" s="5">
        <f>IF(M346&gt;0,N346/M346,"")</f>
      </c>
    </row>
    <row r="347" spans="1:15" x14ac:dyDescent="0.25">
      <c r="A347" s="2">
        <v>46315</v>
      </c>
      <c r="B347" s="10">
        <v>0.020833333333333332</v>
      </c>
      <c r="C347" s="10">
        <v>0.041666666666666664</v>
      </c>
      <c r="D347" s="11"/>
      <c r="E347" s="11"/>
      <c r="F347" s="11"/>
      <c r="G347" s="11"/>
      <c r="H347" s="11">
        <v>30</v>
      </c>
      <c r="I347" s="3">
        <f>IF(D347="","",IFERROR(VLOOKUP(D347,Setup!$A$2:$B$60,2,FALSE),""))</f>
      </c>
      <c r="J347" s="7">
        <f>IF(I347="","",MIN(MAX(0,IF(G347="",H347,G347)),H347))</f>
      </c>
      <c r="K347" s="5">
        <f>IF(J347="","",J347/60)</f>
      </c>
      <c r="L347" s="5">
        <f>IF(J347="","",(H347-J347)/60)</f>
      </c>
      <c r="M347" s="5">
        <f>IF(I347="Y",K347,0)</f>
      </c>
      <c r="N347" s="3">
        <f>IF(I347="Y",MAX(0,N(F347)),0)</f>
      </c>
      <c r="O347" s="5">
        <f>IF(M347&gt;0,N347/M347,"")</f>
      </c>
    </row>
    <row r="348" spans="1:15" x14ac:dyDescent="0.25">
      <c r="A348" s="2">
        <v>46315</v>
      </c>
      <c r="B348" s="10">
        <v>0.041666666666666664</v>
      </c>
      <c r="C348" s="10">
        <v>0.0625</v>
      </c>
      <c r="D348" s="11"/>
      <c r="E348" s="11"/>
      <c r="F348" s="11"/>
      <c r="G348" s="11"/>
      <c r="H348" s="11">
        <v>30</v>
      </c>
      <c r="I348" s="3">
        <f>IF(D348="","",IFERROR(VLOOKUP(D348,Setup!$A$2:$B$60,2,FALSE),""))</f>
      </c>
      <c r="J348" s="7">
        <f>IF(I348="","",MIN(MAX(0,IF(G348="",H348,G348)),H348))</f>
      </c>
      <c r="K348" s="5">
        <f>IF(J348="","",J348/60)</f>
      </c>
      <c r="L348" s="5">
        <f>IF(J348="","",(H348-J348)/60)</f>
      </c>
      <c r="M348" s="5">
        <f>IF(I348="Y",K348,0)</f>
      </c>
      <c r="N348" s="3">
        <f>IF(I348="Y",MAX(0,N(F348)),0)</f>
      </c>
      <c r="O348" s="5">
        <f>IF(M348&gt;0,N348/M348,"")</f>
      </c>
    </row>
    <row r="349" spans="1:15" x14ac:dyDescent="0.25">
      <c r="A349" s="2">
        <v>46315</v>
      </c>
      <c r="B349" s="10">
        <v>0.0625</v>
      </c>
      <c r="C349" s="10">
        <v>0.08333333333333333</v>
      </c>
      <c r="D349" s="11"/>
      <c r="E349" s="11"/>
      <c r="F349" s="11"/>
      <c r="G349" s="11"/>
      <c r="H349" s="11">
        <v>30</v>
      </c>
      <c r="I349" s="3">
        <f>IF(D349="","",IFERROR(VLOOKUP(D349,Setup!$A$2:$B$60,2,FALSE),""))</f>
      </c>
      <c r="J349" s="7">
        <f>IF(I349="","",MIN(MAX(0,IF(G349="",H349,G349)),H349))</f>
      </c>
      <c r="K349" s="5">
        <f>IF(J349="","",J349/60)</f>
      </c>
      <c r="L349" s="5">
        <f>IF(J349="","",(H349-J349)/60)</f>
      </c>
      <c r="M349" s="5">
        <f>IF(I349="Y",K349,0)</f>
      </c>
      <c r="N349" s="3">
        <f>IF(I349="Y",MAX(0,N(F349)),0)</f>
      </c>
      <c r="O349" s="5">
        <f>IF(M349&gt;0,N349/M349,"")</f>
      </c>
    </row>
    <row r="350" spans="1:15" x14ac:dyDescent="0.25">
      <c r="A350" s="2">
        <v>46315</v>
      </c>
      <c r="B350" s="10">
        <v>0.08333333333333333</v>
      </c>
      <c r="C350" s="10">
        <v>0.10416666666666667</v>
      </c>
      <c r="D350" s="11"/>
      <c r="E350" s="11"/>
      <c r="F350" s="11"/>
      <c r="G350" s="11"/>
      <c r="H350" s="11">
        <v>30</v>
      </c>
      <c r="I350" s="3">
        <f>IF(D350="","",IFERROR(VLOOKUP(D350,Setup!$A$2:$B$60,2,FALSE),""))</f>
      </c>
      <c r="J350" s="7">
        <f>IF(I350="","",MIN(MAX(0,IF(G350="",H350,G350)),H350))</f>
      </c>
      <c r="K350" s="5">
        <f>IF(J350="","",J350/60)</f>
      </c>
      <c r="L350" s="5">
        <f>IF(J350="","",(H350-J350)/60)</f>
      </c>
      <c r="M350" s="5">
        <f>IF(I350="Y",K350,0)</f>
      </c>
      <c r="N350" s="3">
        <f>IF(I350="Y",MAX(0,N(F350)),0)</f>
      </c>
      <c r="O350" s="5">
        <f>IF(M350&gt;0,N350/M350,"")</f>
      </c>
    </row>
    <row r="351" spans="1:15" x14ac:dyDescent="0.25">
      <c r="A351" s="2">
        <v>46315</v>
      </c>
      <c r="B351" s="10">
        <v>0.10416666666666667</v>
      </c>
      <c r="C351" s="10">
        <v>0.125</v>
      </c>
      <c r="D351" s="11"/>
      <c r="E351" s="11"/>
      <c r="F351" s="11"/>
      <c r="G351" s="11"/>
      <c r="H351" s="11">
        <v>30</v>
      </c>
      <c r="I351" s="3">
        <f>IF(D351="","",IFERROR(VLOOKUP(D351,Setup!$A$2:$B$60,2,FALSE),""))</f>
      </c>
      <c r="J351" s="7">
        <f>IF(I351="","",MIN(MAX(0,IF(G351="",H351,G351)),H351))</f>
      </c>
      <c r="K351" s="5">
        <f>IF(J351="","",J351/60)</f>
      </c>
      <c r="L351" s="5">
        <f>IF(J351="","",(H351-J351)/60)</f>
      </c>
      <c r="M351" s="5">
        <f>IF(I351="Y",K351,0)</f>
      </c>
      <c r="N351" s="3">
        <f>IF(I351="Y",MAX(0,N(F351)),0)</f>
      </c>
      <c r="O351" s="5">
        <f>IF(M351&gt;0,N351/M351,"")</f>
      </c>
    </row>
    <row r="352" spans="1:15" x14ac:dyDescent="0.25">
      <c r="A352" s="2">
        <v>46315</v>
      </c>
      <c r="B352" s="10">
        <v>0.125</v>
      </c>
      <c r="C352" s="10">
        <v>0.14583333333333334</v>
      </c>
      <c r="D352" s="11"/>
      <c r="E352" s="11"/>
      <c r="F352" s="11"/>
      <c r="G352" s="11"/>
      <c r="H352" s="11">
        <v>30</v>
      </c>
      <c r="I352" s="3">
        <f>IF(D352="","",IFERROR(VLOOKUP(D352,Setup!$A$2:$B$60,2,FALSE),""))</f>
      </c>
      <c r="J352" s="7">
        <f>IF(I352="","",MIN(MAX(0,IF(G352="",H352,G352)),H352))</f>
      </c>
      <c r="K352" s="5">
        <f>IF(J352="","",J352/60)</f>
      </c>
      <c r="L352" s="5">
        <f>IF(J352="","",(H352-J352)/60)</f>
      </c>
      <c r="M352" s="5">
        <f>IF(I352="Y",K352,0)</f>
      </c>
      <c r="N352" s="3">
        <f>IF(I352="Y",MAX(0,N(F352)),0)</f>
      </c>
      <c r="O352" s="5">
        <f>IF(M352&gt;0,N352/M352,"")</f>
      </c>
    </row>
    <row r="353" spans="1:15" x14ac:dyDescent="0.25">
      <c r="A353" s="2">
        <v>46315</v>
      </c>
      <c r="B353" s="10">
        <v>0.14583333333333334</v>
      </c>
      <c r="C353" s="10">
        <v>0.16666666666666666</v>
      </c>
      <c r="D353" s="11"/>
      <c r="E353" s="11"/>
      <c r="F353" s="11"/>
      <c r="G353" s="11"/>
      <c r="H353" s="11">
        <v>30</v>
      </c>
      <c r="I353" s="3">
        <f>IF(D353="","",IFERROR(VLOOKUP(D353,Setup!$A$2:$B$60,2,FALSE),""))</f>
      </c>
      <c r="J353" s="7">
        <f>IF(I353="","",MIN(MAX(0,IF(G353="",H353,G353)),H353))</f>
      </c>
      <c r="K353" s="5">
        <f>IF(J353="","",J353/60)</f>
      </c>
      <c r="L353" s="5">
        <f>IF(J353="","",(H353-J353)/60)</f>
      </c>
      <c r="M353" s="5">
        <f>IF(I353="Y",K353,0)</f>
      </c>
      <c r="N353" s="3">
        <f>IF(I353="Y",MAX(0,N(F353)),0)</f>
      </c>
      <c r="O353" s="5">
        <f>IF(M353&gt;0,N353/M353,"")</f>
      </c>
    </row>
    <row r="354" spans="1:15" x14ac:dyDescent="0.25">
      <c r="A354" s="2">
        <v>46315</v>
      </c>
      <c r="B354" s="10">
        <v>0.16666666666666666</v>
      </c>
      <c r="C354" s="10">
        <v>0.1875</v>
      </c>
      <c r="D354" s="11"/>
      <c r="E354" s="11"/>
      <c r="F354" s="11"/>
      <c r="G354" s="11"/>
      <c r="H354" s="11">
        <v>30</v>
      </c>
      <c r="I354" s="3">
        <f>IF(D354="","",IFERROR(VLOOKUP(D354,Setup!$A$2:$B$60,2,FALSE),""))</f>
      </c>
      <c r="J354" s="7">
        <f>IF(I354="","",MIN(MAX(0,IF(G354="",H354,G354)),H354))</f>
      </c>
      <c r="K354" s="5">
        <f>IF(J354="","",J354/60)</f>
      </c>
      <c r="L354" s="5">
        <f>IF(J354="","",(H354-J354)/60)</f>
      </c>
      <c r="M354" s="5">
        <f>IF(I354="Y",K354,0)</f>
      </c>
      <c r="N354" s="3">
        <f>IF(I354="Y",MAX(0,N(F354)),0)</f>
      </c>
      <c r="O354" s="5">
        <f>IF(M354&gt;0,N354/M354,"")</f>
      </c>
    </row>
    <row r="355" spans="1:15" x14ac:dyDescent="0.25">
      <c r="A355" s="2">
        <v>46315</v>
      </c>
      <c r="B355" s="10">
        <v>0.1875</v>
      </c>
      <c r="C355" s="10">
        <v>0.20833333333333334</v>
      </c>
      <c r="D355" s="11"/>
      <c r="E355" s="11"/>
      <c r="F355" s="11"/>
      <c r="G355" s="11"/>
      <c r="H355" s="11">
        <v>30</v>
      </c>
      <c r="I355" s="3">
        <f>IF(D355="","",IFERROR(VLOOKUP(D355,Setup!$A$2:$B$60,2,FALSE),""))</f>
      </c>
      <c r="J355" s="7">
        <f>IF(I355="","",MIN(MAX(0,IF(G355="",H355,G355)),H355))</f>
      </c>
      <c r="K355" s="5">
        <f>IF(J355="","",J355/60)</f>
      </c>
      <c r="L355" s="5">
        <f>IF(J355="","",(H355-J355)/60)</f>
      </c>
      <c r="M355" s="5">
        <f>IF(I355="Y",K355,0)</f>
      </c>
      <c r="N355" s="3">
        <f>IF(I355="Y",MAX(0,N(F355)),0)</f>
      </c>
      <c r="O355" s="5">
        <f>IF(M355&gt;0,N355/M355,"")</f>
      </c>
    </row>
    <row r="356" spans="1:15" x14ac:dyDescent="0.25">
      <c r="A356" s="2">
        <v>46315</v>
      </c>
      <c r="B356" s="10">
        <v>0.20833333333333334</v>
      </c>
      <c r="C356" s="10">
        <v>0.22916666666666666</v>
      </c>
      <c r="D356" s="11"/>
      <c r="E356" s="11"/>
      <c r="F356" s="11"/>
      <c r="G356" s="11"/>
      <c r="H356" s="11">
        <v>30</v>
      </c>
      <c r="I356" s="3">
        <f>IF(D356="","",IFERROR(VLOOKUP(D356,Setup!$A$2:$B$60,2,FALSE),""))</f>
      </c>
      <c r="J356" s="7">
        <f>IF(I356="","",MIN(MAX(0,IF(G356="",H356,G356)),H356))</f>
      </c>
      <c r="K356" s="5">
        <f>IF(J356="","",J356/60)</f>
      </c>
      <c r="L356" s="5">
        <f>IF(J356="","",(H356-J356)/60)</f>
      </c>
      <c r="M356" s="5">
        <f>IF(I356="Y",K356,0)</f>
      </c>
      <c r="N356" s="3">
        <f>IF(I356="Y",MAX(0,N(F356)),0)</f>
      </c>
      <c r="O356" s="5">
        <f>IF(M356&gt;0,N356/M356,"")</f>
      </c>
    </row>
    <row r="357" spans="1:15" x14ac:dyDescent="0.25">
      <c r="A357" s="2">
        <v>46315</v>
      </c>
      <c r="B357" s="10">
        <v>0.22916666666666666</v>
      </c>
      <c r="C357" s="10">
        <v>0.25</v>
      </c>
      <c r="D357" s="11"/>
      <c r="E357" s="11"/>
      <c r="F357" s="11"/>
      <c r="G357" s="11"/>
      <c r="H357" s="11">
        <v>30</v>
      </c>
      <c r="I357" s="3">
        <f>IF(D357="","",IFERROR(VLOOKUP(D357,Setup!$A$2:$B$60,2,FALSE),""))</f>
      </c>
      <c r="J357" s="7">
        <f>IF(I357="","",MIN(MAX(0,IF(G357="",H357,G357)),H357))</f>
      </c>
      <c r="K357" s="5">
        <f>IF(J357="","",J357/60)</f>
      </c>
      <c r="L357" s="5">
        <f>IF(J357="","",(H357-J357)/60)</f>
      </c>
      <c r="M357" s="5">
        <f>IF(I357="Y",K357,0)</f>
      </c>
      <c r="N357" s="3">
        <f>IF(I357="Y",MAX(0,N(F357)),0)</f>
      </c>
      <c r="O357" s="5">
        <f>IF(M357&gt;0,N357/M357,"")</f>
      </c>
    </row>
    <row r="358" spans="1:15" x14ac:dyDescent="0.25">
      <c r="A358" s="2">
        <v>46315</v>
      </c>
      <c r="B358" s="10">
        <v>0.25</v>
      </c>
      <c r="C358" s="10">
        <v>0.2708333333333333</v>
      </c>
      <c r="D358" s="11"/>
      <c r="E358" s="11"/>
      <c r="F358" s="11"/>
      <c r="G358" s="11"/>
      <c r="H358" s="11">
        <v>30</v>
      </c>
      <c r="I358" s="3">
        <f>IF(D358="","",IFERROR(VLOOKUP(D358,Setup!$A$2:$B$60,2,FALSE),""))</f>
      </c>
      <c r="J358" s="7">
        <f>IF(I358="","",MIN(MAX(0,IF(G358="",H358,G358)),H358))</f>
      </c>
      <c r="K358" s="5">
        <f>IF(J358="","",J358/60)</f>
      </c>
      <c r="L358" s="5">
        <f>IF(J358="","",(H358-J358)/60)</f>
      </c>
      <c r="M358" s="5">
        <f>IF(I358="Y",K358,0)</f>
      </c>
      <c r="N358" s="3">
        <f>IF(I358="Y",MAX(0,N(F358)),0)</f>
      </c>
      <c r="O358" s="5">
        <f>IF(M358&gt;0,N358/M358,"")</f>
      </c>
    </row>
    <row r="359" spans="1:15" x14ac:dyDescent="0.25">
      <c r="A359" s="2">
        <v>46315</v>
      </c>
      <c r="B359" s="10">
        <v>0.2708333333333333</v>
      </c>
      <c r="C359" s="10">
        <v>0.2916666666666667</v>
      </c>
      <c r="D359" s="11"/>
      <c r="E359" s="11"/>
      <c r="F359" s="11"/>
      <c r="G359" s="11"/>
      <c r="H359" s="11">
        <v>30</v>
      </c>
      <c r="I359" s="3">
        <f>IF(D359="","",IFERROR(VLOOKUP(D359,Setup!$A$2:$B$60,2,FALSE),""))</f>
      </c>
      <c r="J359" s="7">
        <f>IF(I359="","",MIN(MAX(0,IF(G359="",H359,G359)),H359))</f>
      </c>
      <c r="K359" s="5">
        <f>IF(J359="","",J359/60)</f>
      </c>
      <c r="L359" s="5">
        <f>IF(J359="","",(H359-J359)/60)</f>
      </c>
      <c r="M359" s="5">
        <f>IF(I359="Y",K359,0)</f>
      </c>
      <c r="N359" s="3">
        <f>IF(I359="Y",MAX(0,N(F359)),0)</f>
      </c>
      <c r="O359" s="5">
        <f>IF(M359&gt;0,N359/M359,"")</f>
      </c>
    </row>
    <row r="360" spans="1:15" x14ac:dyDescent="0.25">
      <c r="A360" s="2">
        <v>46315</v>
      </c>
      <c r="B360" s="10">
        <v>0.2916666666666667</v>
      </c>
      <c r="C360" s="10">
        <v>0.3125</v>
      </c>
      <c r="D360" s="11"/>
      <c r="E360" s="11"/>
      <c r="F360" s="11"/>
      <c r="G360" s="11"/>
      <c r="H360" s="11">
        <v>30</v>
      </c>
      <c r="I360" s="3">
        <f>IF(D360="","",IFERROR(VLOOKUP(D360,Setup!$A$2:$B$60,2,FALSE),""))</f>
      </c>
      <c r="J360" s="7">
        <f>IF(I360="","",MIN(MAX(0,IF(G360="",H360,G360)),H360))</f>
      </c>
      <c r="K360" s="5">
        <f>IF(J360="","",J360/60)</f>
      </c>
      <c r="L360" s="5">
        <f>IF(J360="","",(H360-J360)/60)</f>
      </c>
      <c r="M360" s="5">
        <f>IF(I360="Y",K360,0)</f>
      </c>
      <c r="N360" s="3">
        <f>IF(I360="Y",MAX(0,N(F360)),0)</f>
      </c>
      <c r="O360" s="5">
        <f>IF(M360&gt;0,N360/M360,"")</f>
      </c>
    </row>
    <row r="361" spans="1:15" x14ac:dyDescent="0.25">
      <c r="A361" s="2">
        <v>46315</v>
      </c>
      <c r="B361" s="10">
        <v>0.3125</v>
      </c>
      <c r="C361" s="10">
        <v>0.3333333333333333</v>
      </c>
      <c r="D361" s="11"/>
      <c r="E361" s="11"/>
      <c r="F361" s="11"/>
      <c r="G361" s="11"/>
      <c r="H361" s="11">
        <v>30</v>
      </c>
      <c r="I361" s="3">
        <f>IF(D361="","",IFERROR(VLOOKUP(D361,Setup!$A$2:$B$60,2,FALSE),""))</f>
      </c>
      <c r="J361" s="7">
        <f>IF(I361="","",MIN(MAX(0,IF(G361="",H361,G361)),H361))</f>
      </c>
      <c r="K361" s="5">
        <f>IF(J361="","",J361/60)</f>
      </c>
      <c r="L361" s="5">
        <f>IF(J361="","",(H361-J361)/60)</f>
      </c>
      <c r="M361" s="5">
        <f>IF(I361="Y",K361,0)</f>
      </c>
      <c r="N361" s="3">
        <f>IF(I361="Y",MAX(0,N(F361)),0)</f>
      </c>
      <c r="O361" s="5">
        <f>IF(M361&gt;0,N361/M361,"")</f>
      </c>
    </row>
    <row r="362" spans="1:15" x14ac:dyDescent="0.25">
      <c r="A362" s="2">
        <v>46316</v>
      </c>
      <c r="B362" s="10">
        <v>0.9583333333333334</v>
      </c>
      <c r="C362" s="10">
        <v>0.9791666666666666</v>
      </c>
      <c r="D362" s="11"/>
      <c r="E362" s="11"/>
      <c r="F362" s="11"/>
      <c r="G362" s="11"/>
      <c r="H362" s="11">
        <v>30</v>
      </c>
      <c r="I362" s="3">
        <f>IF(D362="","",IFERROR(VLOOKUP(D362,Setup!$A$2:$B$60,2,FALSE),""))</f>
      </c>
      <c r="J362" s="7">
        <f>IF(I362="","",MIN(MAX(0,IF(G362="",H362,G362)),H362))</f>
      </c>
      <c r="K362" s="5">
        <f>IF(J362="","",J362/60)</f>
      </c>
      <c r="L362" s="5">
        <f>IF(J362="","",(H362-J362)/60)</f>
      </c>
      <c r="M362" s="5">
        <f>IF(I362="Y",K362,0)</f>
      </c>
      <c r="N362" s="3">
        <f>IF(I362="Y",MAX(0,N(F362)),0)</f>
      </c>
      <c r="O362" s="5">
        <f>IF(M362&gt;0,N362/M362,"")</f>
      </c>
    </row>
    <row r="363" spans="1:15" x14ac:dyDescent="0.25">
      <c r="A363" s="2">
        <v>46316</v>
      </c>
      <c r="B363" s="10">
        <v>0.9791666666666666</v>
      </c>
      <c r="C363" s="10">
        <v>0</v>
      </c>
      <c r="D363" s="11"/>
      <c r="E363" s="11"/>
      <c r="F363" s="11"/>
      <c r="G363" s="11"/>
      <c r="H363" s="11">
        <v>30</v>
      </c>
      <c r="I363" s="3">
        <f>IF(D363="","",IFERROR(VLOOKUP(D363,Setup!$A$2:$B$60,2,FALSE),""))</f>
      </c>
      <c r="J363" s="7">
        <f>IF(I363="","",MIN(MAX(0,IF(G363="",H363,G363)),H363))</f>
      </c>
      <c r="K363" s="5">
        <f>IF(J363="","",J363/60)</f>
      </c>
      <c r="L363" s="5">
        <f>IF(J363="","",(H363-J363)/60)</f>
      </c>
      <c r="M363" s="5">
        <f>IF(I363="Y",K363,0)</f>
      </c>
      <c r="N363" s="3">
        <f>IF(I363="Y",MAX(0,N(F363)),0)</f>
      </c>
      <c r="O363" s="5">
        <f>IF(M363&gt;0,N363/M363,"")</f>
      </c>
    </row>
    <row r="364" spans="1:15" x14ac:dyDescent="0.25">
      <c r="A364" s="2">
        <v>46316</v>
      </c>
      <c r="B364" s="10">
        <v>0</v>
      </c>
      <c r="C364" s="10">
        <v>0.020833333333333332</v>
      </c>
      <c r="D364" s="11"/>
      <c r="E364" s="11"/>
      <c r="F364" s="11"/>
      <c r="G364" s="11"/>
      <c r="H364" s="11">
        <v>30</v>
      </c>
      <c r="I364" s="3">
        <f>IF(D364="","",IFERROR(VLOOKUP(D364,Setup!$A$2:$B$60,2,FALSE),""))</f>
      </c>
      <c r="J364" s="7">
        <f>IF(I364="","",MIN(MAX(0,IF(G364="",H364,G364)),H364))</f>
      </c>
      <c r="K364" s="5">
        <f>IF(J364="","",J364/60)</f>
      </c>
      <c r="L364" s="5">
        <f>IF(J364="","",(H364-J364)/60)</f>
      </c>
      <c r="M364" s="5">
        <f>IF(I364="Y",K364,0)</f>
      </c>
      <c r="N364" s="3">
        <f>IF(I364="Y",MAX(0,N(F364)),0)</f>
      </c>
      <c r="O364" s="5">
        <f>IF(M364&gt;0,N364/M364,"")</f>
      </c>
    </row>
    <row r="365" spans="1:15" x14ac:dyDescent="0.25">
      <c r="A365" s="2">
        <v>46316</v>
      </c>
      <c r="B365" s="10">
        <v>0.020833333333333332</v>
      </c>
      <c r="C365" s="10">
        <v>0.041666666666666664</v>
      </c>
      <c r="D365" s="11"/>
      <c r="E365" s="11"/>
      <c r="F365" s="11"/>
      <c r="G365" s="11"/>
      <c r="H365" s="11">
        <v>30</v>
      </c>
      <c r="I365" s="3">
        <f>IF(D365="","",IFERROR(VLOOKUP(D365,Setup!$A$2:$B$60,2,FALSE),""))</f>
      </c>
      <c r="J365" s="7">
        <f>IF(I365="","",MIN(MAX(0,IF(G365="",H365,G365)),H365))</f>
      </c>
      <c r="K365" s="5">
        <f>IF(J365="","",J365/60)</f>
      </c>
      <c r="L365" s="5">
        <f>IF(J365="","",(H365-J365)/60)</f>
      </c>
      <c r="M365" s="5">
        <f>IF(I365="Y",K365,0)</f>
      </c>
      <c r="N365" s="3">
        <f>IF(I365="Y",MAX(0,N(F365)),0)</f>
      </c>
      <c r="O365" s="5">
        <f>IF(M365&gt;0,N365/M365,"")</f>
      </c>
    </row>
    <row r="366" spans="1:15" x14ac:dyDescent="0.25">
      <c r="A366" s="2">
        <v>46316</v>
      </c>
      <c r="B366" s="10">
        <v>0.041666666666666664</v>
      </c>
      <c r="C366" s="10">
        <v>0.0625</v>
      </c>
      <c r="D366" s="11"/>
      <c r="E366" s="11"/>
      <c r="F366" s="11"/>
      <c r="G366" s="11"/>
      <c r="H366" s="11">
        <v>30</v>
      </c>
      <c r="I366" s="3">
        <f>IF(D366="","",IFERROR(VLOOKUP(D366,Setup!$A$2:$B$60,2,FALSE),""))</f>
      </c>
      <c r="J366" s="7">
        <f>IF(I366="","",MIN(MAX(0,IF(G366="",H366,G366)),H366))</f>
      </c>
      <c r="K366" s="5">
        <f>IF(J366="","",J366/60)</f>
      </c>
      <c r="L366" s="5">
        <f>IF(J366="","",(H366-J366)/60)</f>
      </c>
      <c r="M366" s="5">
        <f>IF(I366="Y",K366,0)</f>
      </c>
      <c r="N366" s="3">
        <f>IF(I366="Y",MAX(0,N(F366)),0)</f>
      </c>
      <c r="O366" s="5">
        <f>IF(M366&gt;0,N366/M366,"")</f>
      </c>
    </row>
    <row r="367" spans="1:15" x14ac:dyDescent="0.25">
      <c r="A367" s="2">
        <v>46316</v>
      </c>
      <c r="B367" s="10">
        <v>0.0625</v>
      </c>
      <c r="C367" s="10">
        <v>0.08333333333333333</v>
      </c>
      <c r="D367" s="11"/>
      <c r="E367" s="11"/>
      <c r="F367" s="11"/>
      <c r="G367" s="11"/>
      <c r="H367" s="11">
        <v>30</v>
      </c>
      <c r="I367" s="3">
        <f>IF(D367="","",IFERROR(VLOOKUP(D367,Setup!$A$2:$B$60,2,FALSE),""))</f>
      </c>
      <c r="J367" s="7">
        <f>IF(I367="","",MIN(MAX(0,IF(G367="",H367,G367)),H367))</f>
      </c>
      <c r="K367" s="5">
        <f>IF(J367="","",J367/60)</f>
      </c>
      <c r="L367" s="5">
        <f>IF(J367="","",(H367-J367)/60)</f>
      </c>
      <c r="M367" s="5">
        <f>IF(I367="Y",K367,0)</f>
      </c>
      <c r="N367" s="3">
        <f>IF(I367="Y",MAX(0,N(F367)),0)</f>
      </c>
      <c r="O367" s="5">
        <f>IF(M367&gt;0,N367/M367,"")</f>
      </c>
    </row>
    <row r="368" spans="1:15" x14ac:dyDescent="0.25">
      <c r="A368" s="2">
        <v>46316</v>
      </c>
      <c r="B368" s="10">
        <v>0.08333333333333333</v>
      </c>
      <c r="C368" s="10">
        <v>0.10416666666666667</v>
      </c>
      <c r="D368" s="11"/>
      <c r="E368" s="11"/>
      <c r="F368" s="11"/>
      <c r="G368" s="11"/>
      <c r="H368" s="11">
        <v>30</v>
      </c>
      <c r="I368" s="3">
        <f>IF(D368="","",IFERROR(VLOOKUP(D368,Setup!$A$2:$B$60,2,FALSE),""))</f>
      </c>
      <c r="J368" s="7">
        <f>IF(I368="","",MIN(MAX(0,IF(G368="",H368,G368)),H368))</f>
      </c>
      <c r="K368" s="5">
        <f>IF(J368="","",J368/60)</f>
      </c>
      <c r="L368" s="5">
        <f>IF(J368="","",(H368-J368)/60)</f>
      </c>
      <c r="M368" s="5">
        <f>IF(I368="Y",K368,0)</f>
      </c>
      <c r="N368" s="3">
        <f>IF(I368="Y",MAX(0,N(F368)),0)</f>
      </c>
      <c r="O368" s="5">
        <f>IF(M368&gt;0,N368/M368,"")</f>
      </c>
    </row>
    <row r="369" spans="1:15" x14ac:dyDescent="0.25">
      <c r="A369" s="2">
        <v>46316</v>
      </c>
      <c r="B369" s="10">
        <v>0.10416666666666667</v>
      </c>
      <c r="C369" s="10">
        <v>0.125</v>
      </c>
      <c r="D369" s="11"/>
      <c r="E369" s="11"/>
      <c r="F369" s="11"/>
      <c r="G369" s="11"/>
      <c r="H369" s="11">
        <v>30</v>
      </c>
      <c r="I369" s="3">
        <f>IF(D369="","",IFERROR(VLOOKUP(D369,Setup!$A$2:$B$60,2,FALSE),""))</f>
      </c>
      <c r="J369" s="7">
        <f>IF(I369="","",MIN(MAX(0,IF(G369="",H369,G369)),H369))</f>
      </c>
      <c r="K369" s="5">
        <f>IF(J369="","",J369/60)</f>
      </c>
      <c r="L369" s="5">
        <f>IF(J369="","",(H369-J369)/60)</f>
      </c>
      <c r="M369" s="5">
        <f>IF(I369="Y",K369,0)</f>
      </c>
      <c r="N369" s="3">
        <f>IF(I369="Y",MAX(0,N(F369)),0)</f>
      </c>
      <c r="O369" s="5">
        <f>IF(M369&gt;0,N369/M369,"")</f>
      </c>
    </row>
    <row r="370" spans="1:15" x14ac:dyDescent="0.25">
      <c r="A370" s="2">
        <v>46316</v>
      </c>
      <c r="B370" s="10">
        <v>0.125</v>
      </c>
      <c r="C370" s="10">
        <v>0.14583333333333334</v>
      </c>
      <c r="D370" s="11"/>
      <c r="E370" s="11"/>
      <c r="F370" s="11"/>
      <c r="G370" s="11"/>
      <c r="H370" s="11">
        <v>30</v>
      </c>
      <c r="I370" s="3">
        <f>IF(D370="","",IFERROR(VLOOKUP(D370,Setup!$A$2:$B$60,2,FALSE),""))</f>
      </c>
      <c r="J370" s="7">
        <f>IF(I370="","",MIN(MAX(0,IF(G370="",H370,G370)),H370))</f>
      </c>
      <c r="K370" s="5">
        <f>IF(J370="","",J370/60)</f>
      </c>
      <c r="L370" s="5">
        <f>IF(J370="","",(H370-J370)/60)</f>
      </c>
      <c r="M370" s="5">
        <f>IF(I370="Y",K370,0)</f>
      </c>
      <c r="N370" s="3">
        <f>IF(I370="Y",MAX(0,N(F370)),0)</f>
      </c>
      <c r="O370" s="5">
        <f>IF(M370&gt;0,N370/M370,"")</f>
      </c>
    </row>
    <row r="371" spans="1:15" x14ac:dyDescent="0.25">
      <c r="A371" s="2">
        <v>46316</v>
      </c>
      <c r="B371" s="10">
        <v>0.14583333333333334</v>
      </c>
      <c r="C371" s="10">
        <v>0.16666666666666666</v>
      </c>
      <c r="D371" s="11"/>
      <c r="E371" s="11"/>
      <c r="F371" s="11"/>
      <c r="G371" s="11"/>
      <c r="H371" s="11">
        <v>30</v>
      </c>
      <c r="I371" s="3">
        <f>IF(D371="","",IFERROR(VLOOKUP(D371,Setup!$A$2:$B$60,2,FALSE),""))</f>
      </c>
      <c r="J371" s="7">
        <f>IF(I371="","",MIN(MAX(0,IF(G371="",H371,G371)),H371))</f>
      </c>
      <c r="K371" s="5">
        <f>IF(J371="","",J371/60)</f>
      </c>
      <c r="L371" s="5">
        <f>IF(J371="","",(H371-J371)/60)</f>
      </c>
      <c r="M371" s="5">
        <f>IF(I371="Y",K371,0)</f>
      </c>
      <c r="N371" s="3">
        <f>IF(I371="Y",MAX(0,N(F371)),0)</f>
      </c>
      <c r="O371" s="5">
        <f>IF(M371&gt;0,N371/M371,"")</f>
      </c>
    </row>
    <row r="372" spans="1:15" x14ac:dyDescent="0.25">
      <c r="A372" s="2">
        <v>46316</v>
      </c>
      <c r="B372" s="10">
        <v>0.16666666666666666</v>
      </c>
      <c r="C372" s="10">
        <v>0.1875</v>
      </c>
      <c r="D372" s="11"/>
      <c r="E372" s="11"/>
      <c r="F372" s="11"/>
      <c r="G372" s="11"/>
      <c r="H372" s="11">
        <v>30</v>
      </c>
      <c r="I372" s="3">
        <f>IF(D372="","",IFERROR(VLOOKUP(D372,Setup!$A$2:$B$60,2,FALSE),""))</f>
      </c>
      <c r="J372" s="7">
        <f>IF(I372="","",MIN(MAX(0,IF(G372="",H372,G372)),H372))</f>
      </c>
      <c r="K372" s="5">
        <f>IF(J372="","",J372/60)</f>
      </c>
      <c r="L372" s="5">
        <f>IF(J372="","",(H372-J372)/60)</f>
      </c>
      <c r="M372" s="5">
        <f>IF(I372="Y",K372,0)</f>
      </c>
      <c r="N372" s="3">
        <f>IF(I372="Y",MAX(0,N(F372)),0)</f>
      </c>
      <c r="O372" s="5">
        <f>IF(M372&gt;0,N372/M372,"")</f>
      </c>
    </row>
    <row r="373" spans="1:15" x14ac:dyDescent="0.25">
      <c r="A373" s="2">
        <v>46316</v>
      </c>
      <c r="B373" s="10">
        <v>0.1875</v>
      </c>
      <c r="C373" s="10">
        <v>0.20833333333333334</v>
      </c>
      <c r="D373" s="11"/>
      <c r="E373" s="11"/>
      <c r="F373" s="11"/>
      <c r="G373" s="11"/>
      <c r="H373" s="11">
        <v>30</v>
      </c>
      <c r="I373" s="3">
        <f>IF(D373="","",IFERROR(VLOOKUP(D373,Setup!$A$2:$B$60,2,FALSE),""))</f>
      </c>
      <c r="J373" s="7">
        <f>IF(I373="","",MIN(MAX(0,IF(G373="",H373,G373)),H373))</f>
      </c>
      <c r="K373" s="5">
        <f>IF(J373="","",J373/60)</f>
      </c>
      <c r="L373" s="5">
        <f>IF(J373="","",(H373-J373)/60)</f>
      </c>
      <c r="M373" s="5">
        <f>IF(I373="Y",K373,0)</f>
      </c>
      <c r="N373" s="3">
        <f>IF(I373="Y",MAX(0,N(F373)),0)</f>
      </c>
      <c r="O373" s="5">
        <f>IF(M373&gt;0,N373/M373,"")</f>
      </c>
    </row>
    <row r="374" spans="1:15" x14ac:dyDescent="0.25">
      <c r="A374" s="2">
        <v>46316</v>
      </c>
      <c r="B374" s="10">
        <v>0.20833333333333334</v>
      </c>
      <c r="C374" s="10">
        <v>0.22916666666666666</v>
      </c>
      <c r="D374" s="11"/>
      <c r="E374" s="11"/>
      <c r="F374" s="11"/>
      <c r="G374" s="11"/>
      <c r="H374" s="11">
        <v>30</v>
      </c>
      <c r="I374" s="3">
        <f>IF(D374="","",IFERROR(VLOOKUP(D374,Setup!$A$2:$B$60,2,FALSE),""))</f>
      </c>
      <c r="J374" s="7">
        <f>IF(I374="","",MIN(MAX(0,IF(G374="",H374,G374)),H374))</f>
      </c>
      <c r="K374" s="5">
        <f>IF(J374="","",J374/60)</f>
      </c>
      <c r="L374" s="5">
        <f>IF(J374="","",(H374-J374)/60)</f>
      </c>
      <c r="M374" s="5">
        <f>IF(I374="Y",K374,0)</f>
      </c>
      <c r="N374" s="3">
        <f>IF(I374="Y",MAX(0,N(F374)),0)</f>
      </c>
      <c r="O374" s="5">
        <f>IF(M374&gt;0,N374/M374,"")</f>
      </c>
    </row>
    <row r="375" spans="1:15" x14ac:dyDescent="0.25">
      <c r="A375" s="2">
        <v>46316</v>
      </c>
      <c r="B375" s="10">
        <v>0.22916666666666666</v>
      </c>
      <c r="C375" s="10">
        <v>0.25</v>
      </c>
      <c r="D375" s="11"/>
      <c r="E375" s="11"/>
      <c r="F375" s="11"/>
      <c r="G375" s="11"/>
      <c r="H375" s="11">
        <v>30</v>
      </c>
      <c r="I375" s="3">
        <f>IF(D375="","",IFERROR(VLOOKUP(D375,Setup!$A$2:$B$60,2,FALSE),""))</f>
      </c>
      <c r="J375" s="7">
        <f>IF(I375="","",MIN(MAX(0,IF(G375="",H375,G375)),H375))</f>
      </c>
      <c r="K375" s="5">
        <f>IF(J375="","",J375/60)</f>
      </c>
      <c r="L375" s="5">
        <f>IF(J375="","",(H375-J375)/60)</f>
      </c>
      <c r="M375" s="5">
        <f>IF(I375="Y",K375,0)</f>
      </c>
      <c r="N375" s="3">
        <f>IF(I375="Y",MAX(0,N(F375)),0)</f>
      </c>
      <c r="O375" s="5">
        <f>IF(M375&gt;0,N375/M375,"")</f>
      </c>
    </row>
    <row r="376" spans="1:15" x14ac:dyDescent="0.25">
      <c r="A376" s="2">
        <v>46316</v>
      </c>
      <c r="B376" s="10">
        <v>0.25</v>
      </c>
      <c r="C376" s="10">
        <v>0.2708333333333333</v>
      </c>
      <c r="D376" s="11"/>
      <c r="E376" s="11"/>
      <c r="F376" s="11"/>
      <c r="G376" s="11"/>
      <c r="H376" s="11">
        <v>30</v>
      </c>
      <c r="I376" s="3">
        <f>IF(D376="","",IFERROR(VLOOKUP(D376,Setup!$A$2:$B$60,2,FALSE),""))</f>
      </c>
      <c r="J376" s="7">
        <f>IF(I376="","",MIN(MAX(0,IF(G376="",H376,G376)),H376))</f>
      </c>
      <c r="K376" s="5">
        <f>IF(J376="","",J376/60)</f>
      </c>
      <c r="L376" s="5">
        <f>IF(J376="","",(H376-J376)/60)</f>
      </c>
      <c r="M376" s="5">
        <f>IF(I376="Y",K376,0)</f>
      </c>
      <c r="N376" s="3">
        <f>IF(I376="Y",MAX(0,N(F376)),0)</f>
      </c>
      <c r="O376" s="5">
        <f>IF(M376&gt;0,N376/M376,"")</f>
      </c>
    </row>
    <row r="377" spans="1:15" x14ac:dyDescent="0.25">
      <c r="A377" s="2">
        <v>46316</v>
      </c>
      <c r="B377" s="10">
        <v>0.2708333333333333</v>
      </c>
      <c r="C377" s="10">
        <v>0.2916666666666667</v>
      </c>
      <c r="D377" s="11"/>
      <c r="E377" s="11"/>
      <c r="F377" s="11"/>
      <c r="G377" s="11"/>
      <c r="H377" s="11">
        <v>30</v>
      </c>
      <c r="I377" s="3">
        <f>IF(D377="","",IFERROR(VLOOKUP(D377,Setup!$A$2:$B$60,2,FALSE),""))</f>
      </c>
      <c r="J377" s="7">
        <f>IF(I377="","",MIN(MAX(0,IF(G377="",H377,G377)),H377))</f>
      </c>
      <c r="K377" s="5">
        <f>IF(J377="","",J377/60)</f>
      </c>
      <c r="L377" s="5">
        <f>IF(J377="","",(H377-J377)/60)</f>
      </c>
      <c r="M377" s="5">
        <f>IF(I377="Y",K377,0)</f>
      </c>
      <c r="N377" s="3">
        <f>IF(I377="Y",MAX(0,N(F377)),0)</f>
      </c>
      <c r="O377" s="5">
        <f>IF(M377&gt;0,N377/M377,"")</f>
      </c>
    </row>
    <row r="378" spans="1:15" x14ac:dyDescent="0.25">
      <c r="A378" s="2">
        <v>46316</v>
      </c>
      <c r="B378" s="10">
        <v>0.2916666666666667</v>
      </c>
      <c r="C378" s="10">
        <v>0.3125</v>
      </c>
      <c r="D378" s="11"/>
      <c r="E378" s="11"/>
      <c r="F378" s="11"/>
      <c r="G378" s="11"/>
      <c r="H378" s="11">
        <v>30</v>
      </c>
      <c r="I378" s="3">
        <f>IF(D378="","",IFERROR(VLOOKUP(D378,Setup!$A$2:$B$60,2,FALSE),""))</f>
      </c>
      <c r="J378" s="7">
        <f>IF(I378="","",MIN(MAX(0,IF(G378="",H378,G378)),H378))</f>
      </c>
      <c r="K378" s="5">
        <f>IF(J378="","",J378/60)</f>
      </c>
      <c r="L378" s="5">
        <f>IF(J378="","",(H378-J378)/60)</f>
      </c>
      <c r="M378" s="5">
        <f>IF(I378="Y",K378,0)</f>
      </c>
      <c r="N378" s="3">
        <f>IF(I378="Y",MAX(0,N(F378)),0)</f>
      </c>
      <c r="O378" s="5">
        <f>IF(M378&gt;0,N378/M378,"")</f>
      </c>
    </row>
    <row r="379" spans="1:15" x14ac:dyDescent="0.25">
      <c r="A379" s="2">
        <v>46316</v>
      </c>
      <c r="B379" s="10">
        <v>0.3125</v>
      </c>
      <c r="C379" s="10">
        <v>0.3333333333333333</v>
      </c>
      <c r="D379" s="11"/>
      <c r="E379" s="11"/>
      <c r="F379" s="11"/>
      <c r="G379" s="11"/>
      <c r="H379" s="11">
        <v>30</v>
      </c>
      <c r="I379" s="3">
        <f>IF(D379="","",IFERROR(VLOOKUP(D379,Setup!$A$2:$B$60,2,FALSE),""))</f>
      </c>
      <c r="J379" s="7">
        <f>IF(I379="","",MIN(MAX(0,IF(G379="",H379,G379)),H379))</f>
      </c>
      <c r="K379" s="5">
        <f>IF(J379="","",J379/60)</f>
      </c>
      <c r="L379" s="5">
        <f>IF(J379="","",(H379-J379)/60)</f>
      </c>
      <c r="M379" s="5">
        <f>IF(I379="Y",K379,0)</f>
      </c>
      <c r="N379" s="3">
        <f>IF(I379="Y",MAX(0,N(F379)),0)</f>
      </c>
      <c r="O379" s="5">
        <f>IF(M379&gt;0,N379/M379,"")</f>
      </c>
    </row>
    <row r="380" spans="1:15" x14ac:dyDescent="0.25">
      <c r="A380" s="2">
        <v>46317</v>
      </c>
      <c r="B380" s="10">
        <v>0.9583333333333334</v>
      </c>
      <c r="C380" s="10">
        <v>0.9791666666666666</v>
      </c>
      <c r="D380" s="11"/>
      <c r="E380" s="11"/>
      <c r="F380" s="11"/>
      <c r="G380" s="11"/>
      <c r="H380" s="11">
        <v>30</v>
      </c>
      <c r="I380" s="3">
        <f>IF(D380="","",IFERROR(VLOOKUP(D380,Setup!$A$2:$B$60,2,FALSE),""))</f>
      </c>
      <c r="J380" s="7">
        <f>IF(I380="","",MIN(MAX(0,IF(G380="",H380,G380)),H380))</f>
      </c>
      <c r="K380" s="5">
        <f>IF(J380="","",J380/60)</f>
      </c>
      <c r="L380" s="5">
        <f>IF(J380="","",(H380-J380)/60)</f>
      </c>
      <c r="M380" s="5">
        <f>IF(I380="Y",K380,0)</f>
      </c>
      <c r="N380" s="3">
        <f>IF(I380="Y",MAX(0,N(F380)),0)</f>
      </c>
      <c r="O380" s="5">
        <f>IF(M380&gt;0,N380/M380,"")</f>
      </c>
    </row>
    <row r="381" spans="1:15" x14ac:dyDescent="0.25">
      <c r="A381" s="2">
        <v>46317</v>
      </c>
      <c r="B381" s="10">
        <v>0.9791666666666666</v>
      </c>
      <c r="C381" s="10">
        <v>0</v>
      </c>
      <c r="D381" s="11"/>
      <c r="E381" s="11"/>
      <c r="F381" s="11"/>
      <c r="G381" s="11"/>
      <c r="H381" s="11">
        <v>30</v>
      </c>
      <c r="I381" s="3">
        <f>IF(D381="","",IFERROR(VLOOKUP(D381,Setup!$A$2:$B$60,2,FALSE),""))</f>
      </c>
      <c r="J381" s="7">
        <f>IF(I381="","",MIN(MAX(0,IF(G381="",H381,G381)),H381))</f>
      </c>
      <c r="K381" s="5">
        <f>IF(J381="","",J381/60)</f>
      </c>
      <c r="L381" s="5">
        <f>IF(J381="","",(H381-J381)/60)</f>
      </c>
      <c r="M381" s="5">
        <f>IF(I381="Y",K381,0)</f>
      </c>
      <c r="N381" s="3">
        <f>IF(I381="Y",MAX(0,N(F381)),0)</f>
      </c>
      <c r="O381" s="5">
        <f>IF(M381&gt;0,N381/M381,"")</f>
      </c>
    </row>
    <row r="382" spans="1:15" x14ac:dyDescent="0.25">
      <c r="A382" s="2">
        <v>46317</v>
      </c>
      <c r="B382" s="10">
        <v>0</v>
      </c>
      <c r="C382" s="10">
        <v>0.020833333333333332</v>
      </c>
      <c r="D382" s="11"/>
      <c r="E382" s="11"/>
      <c r="F382" s="11"/>
      <c r="G382" s="11"/>
      <c r="H382" s="11">
        <v>30</v>
      </c>
      <c r="I382" s="3">
        <f>IF(D382="","",IFERROR(VLOOKUP(D382,Setup!$A$2:$B$60,2,FALSE),""))</f>
      </c>
      <c r="J382" s="7">
        <f>IF(I382="","",MIN(MAX(0,IF(G382="",H382,G382)),H382))</f>
      </c>
      <c r="K382" s="5">
        <f>IF(J382="","",J382/60)</f>
      </c>
      <c r="L382" s="5">
        <f>IF(J382="","",(H382-J382)/60)</f>
      </c>
      <c r="M382" s="5">
        <f>IF(I382="Y",K382,0)</f>
      </c>
      <c r="N382" s="3">
        <f>IF(I382="Y",MAX(0,N(F382)),0)</f>
      </c>
      <c r="O382" s="5">
        <f>IF(M382&gt;0,N382/M382,"")</f>
      </c>
    </row>
    <row r="383" spans="1:15" x14ac:dyDescent="0.25">
      <c r="A383" s="2">
        <v>46317</v>
      </c>
      <c r="B383" s="10">
        <v>0.020833333333333332</v>
      </c>
      <c r="C383" s="10">
        <v>0.041666666666666664</v>
      </c>
      <c r="D383" s="11"/>
      <c r="E383" s="11"/>
      <c r="F383" s="11"/>
      <c r="G383" s="11"/>
      <c r="H383" s="11">
        <v>30</v>
      </c>
      <c r="I383" s="3">
        <f>IF(D383="","",IFERROR(VLOOKUP(D383,Setup!$A$2:$B$60,2,FALSE),""))</f>
      </c>
      <c r="J383" s="7">
        <f>IF(I383="","",MIN(MAX(0,IF(G383="",H383,G383)),H383))</f>
      </c>
      <c r="K383" s="5">
        <f>IF(J383="","",J383/60)</f>
      </c>
      <c r="L383" s="5">
        <f>IF(J383="","",(H383-J383)/60)</f>
      </c>
      <c r="M383" s="5">
        <f>IF(I383="Y",K383,0)</f>
      </c>
      <c r="N383" s="3">
        <f>IF(I383="Y",MAX(0,N(F383)),0)</f>
      </c>
      <c r="O383" s="5">
        <f>IF(M383&gt;0,N383/M383,"")</f>
      </c>
    </row>
    <row r="384" spans="1:15" x14ac:dyDescent="0.25">
      <c r="A384" s="2">
        <v>46317</v>
      </c>
      <c r="B384" s="10">
        <v>0.041666666666666664</v>
      </c>
      <c r="C384" s="10">
        <v>0.0625</v>
      </c>
      <c r="D384" s="11"/>
      <c r="E384" s="11"/>
      <c r="F384" s="11"/>
      <c r="G384" s="11"/>
      <c r="H384" s="11">
        <v>30</v>
      </c>
      <c r="I384" s="3">
        <f>IF(D384="","",IFERROR(VLOOKUP(D384,Setup!$A$2:$B$60,2,FALSE),""))</f>
      </c>
      <c r="J384" s="7">
        <f>IF(I384="","",MIN(MAX(0,IF(G384="",H384,G384)),H384))</f>
      </c>
      <c r="K384" s="5">
        <f>IF(J384="","",J384/60)</f>
      </c>
      <c r="L384" s="5">
        <f>IF(J384="","",(H384-J384)/60)</f>
      </c>
      <c r="M384" s="5">
        <f>IF(I384="Y",K384,0)</f>
      </c>
      <c r="N384" s="3">
        <f>IF(I384="Y",MAX(0,N(F384)),0)</f>
      </c>
      <c r="O384" s="5">
        <f>IF(M384&gt;0,N384/M384,"")</f>
      </c>
    </row>
    <row r="385" spans="1:15" x14ac:dyDescent="0.25">
      <c r="A385" s="2">
        <v>46317</v>
      </c>
      <c r="B385" s="10">
        <v>0.0625</v>
      </c>
      <c r="C385" s="10">
        <v>0.08333333333333333</v>
      </c>
      <c r="D385" s="11"/>
      <c r="E385" s="11"/>
      <c r="F385" s="11"/>
      <c r="G385" s="11"/>
      <c r="H385" s="11">
        <v>30</v>
      </c>
      <c r="I385" s="3">
        <f>IF(D385="","",IFERROR(VLOOKUP(D385,Setup!$A$2:$B$60,2,FALSE),""))</f>
      </c>
      <c r="J385" s="7">
        <f>IF(I385="","",MIN(MAX(0,IF(G385="",H385,G385)),H385))</f>
      </c>
      <c r="K385" s="5">
        <f>IF(J385="","",J385/60)</f>
      </c>
      <c r="L385" s="5">
        <f>IF(J385="","",(H385-J385)/60)</f>
      </c>
      <c r="M385" s="5">
        <f>IF(I385="Y",K385,0)</f>
      </c>
      <c r="N385" s="3">
        <f>IF(I385="Y",MAX(0,N(F385)),0)</f>
      </c>
      <c r="O385" s="5">
        <f>IF(M385&gt;0,N385/M385,"")</f>
      </c>
    </row>
    <row r="386" spans="1:15" x14ac:dyDescent="0.25">
      <c r="A386" s="2">
        <v>46317</v>
      </c>
      <c r="B386" s="10">
        <v>0.08333333333333333</v>
      </c>
      <c r="C386" s="10">
        <v>0.10416666666666667</v>
      </c>
      <c r="D386" s="11"/>
      <c r="E386" s="11"/>
      <c r="F386" s="11"/>
      <c r="G386" s="11"/>
      <c r="H386" s="11">
        <v>30</v>
      </c>
      <c r="I386" s="3">
        <f>IF(D386="","",IFERROR(VLOOKUP(D386,Setup!$A$2:$B$60,2,FALSE),""))</f>
      </c>
      <c r="J386" s="7">
        <f>IF(I386="","",MIN(MAX(0,IF(G386="",H386,G386)),H386))</f>
      </c>
      <c r="K386" s="5">
        <f>IF(J386="","",J386/60)</f>
      </c>
      <c r="L386" s="5">
        <f>IF(J386="","",(H386-J386)/60)</f>
      </c>
      <c r="M386" s="5">
        <f>IF(I386="Y",K386,0)</f>
      </c>
      <c r="N386" s="3">
        <f>IF(I386="Y",MAX(0,N(F386)),0)</f>
      </c>
      <c r="O386" s="5">
        <f>IF(M386&gt;0,N386/M386,"")</f>
      </c>
    </row>
    <row r="387" spans="1:15" x14ac:dyDescent="0.25">
      <c r="A387" s="2">
        <v>46317</v>
      </c>
      <c r="B387" s="10">
        <v>0.10416666666666667</v>
      </c>
      <c r="C387" s="10">
        <v>0.125</v>
      </c>
      <c r="D387" s="11"/>
      <c r="E387" s="11"/>
      <c r="F387" s="11"/>
      <c r="G387" s="11"/>
      <c r="H387" s="11">
        <v>30</v>
      </c>
      <c r="I387" s="3">
        <f>IF(D387="","",IFERROR(VLOOKUP(D387,Setup!$A$2:$B$60,2,FALSE),""))</f>
      </c>
      <c r="J387" s="7">
        <f>IF(I387="","",MIN(MAX(0,IF(G387="",H387,G387)),H387))</f>
      </c>
      <c r="K387" s="5">
        <f>IF(J387="","",J387/60)</f>
      </c>
      <c r="L387" s="5">
        <f>IF(J387="","",(H387-J387)/60)</f>
      </c>
      <c r="M387" s="5">
        <f>IF(I387="Y",K387,0)</f>
      </c>
      <c r="N387" s="3">
        <f>IF(I387="Y",MAX(0,N(F387)),0)</f>
      </c>
      <c r="O387" s="5">
        <f>IF(M387&gt;0,N387/M387,"")</f>
      </c>
    </row>
    <row r="388" spans="1:15" x14ac:dyDescent="0.25">
      <c r="A388" s="2">
        <v>46317</v>
      </c>
      <c r="B388" s="10">
        <v>0.125</v>
      </c>
      <c r="C388" s="10">
        <v>0.14583333333333334</v>
      </c>
      <c r="D388" s="11"/>
      <c r="E388" s="11"/>
      <c r="F388" s="11"/>
      <c r="G388" s="11"/>
      <c r="H388" s="11">
        <v>30</v>
      </c>
      <c r="I388" s="3">
        <f>IF(D388="","",IFERROR(VLOOKUP(D388,Setup!$A$2:$B$60,2,FALSE),""))</f>
      </c>
      <c r="J388" s="7">
        <f>IF(I388="","",MIN(MAX(0,IF(G388="",H388,G388)),H388))</f>
      </c>
      <c r="K388" s="5">
        <f>IF(J388="","",J388/60)</f>
      </c>
      <c r="L388" s="5">
        <f>IF(J388="","",(H388-J388)/60)</f>
      </c>
      <c r="M388" s="5">
        <f>IF(I388="Y",K388,0)</f>
      </c>
      <c r="N388" s="3">
        <f>IF(I388="Y",MAX(0,N(F388)),0)</f>
      </c>
      <c r="O388" s="5">
        <f>IF(M388&gt;0,N388/M388,"")</f>
      </c>
    </row>
    <row r="389" spans="1:15" x14ac:dyDescent="0.25">
      <c r="A389" s="2">
        <v>46317</v>
      </c>
      <c r="B389" s="10">
        <v>0.14583333333333334</v>
      </c>
      <c r="C389" s="10">
        <v>0.16666666666666666</v>
      </c>
      <c r="D389" s="11"/>
      <c r="E389" s="11"/>
      <c r="F389" s="11"/>
      <c r="G389" s="11"/>
      <c r="H389" s="11">
        <v>30</v>
      </c>
      <c r="I389" s="3">
        <f>IF(D389="","",IFERROR(VLOOKUP(D389,Setup!$A$2:$B$60,2,FALSE),""))</f>
      </c>
      <c r="J389" s="7">
        <f>IF(I389="","",MIN(MAX(0,IF(G389="",H389,G389)),H389))</f>
      </c>
      <c r="K389" s="5">
        <f>IF(J389="","",J389/60)</f>
      </c>
      <c r="L389" s="5">
        <f>IF(J389="","",(H389-J389)/60)</f>
      </c>
      <c r="M389" s="5">
        <f>IF(I389="Y",K389,0)</f>
      </c>
      <c r="N389" s="3">
        <f>IF(I389="Y",MAX(0,N(F389)),0)</f>
      </c>
      <c r="O389" s="5">
        <f>IF(M389&gt;0,N389/M389,"")</f>
      </c>
    </row>
    <row r="390" spans="1:15" x14ac:dyDescent="0.25">
      <c r="A390" s="2">
        <v>46317</v>
      </c>
      <c r="B390" s="10">
        <v>0.16666666666666666</v>
      </c>
      <c r="C390" s="10">
        <v>0.1875</v>
      </c>
      <c r="D390" s="11"/>
      <c r="E390" s="11"/>
      <c r="F390" s="11"/>
      <c r="G390" s="11"/>
      <c r="H390" s="11">
        <v>30</v>
      </c>
      <c r="I390" s="3">
        <f>IF(D390="","",IFERROR(VLOOKUP(D390,Setup!$A$2:$B$60,2,FALSE),""))</f>
      </c>
      <c r="J390" s="7">
        <f>IF(I390="","",MIN(MAX(0,IF(G390="",H390,G390)),H390))</f>
      </c>
      <c r="K390" s="5">
        <f>IF(J390="","",J390/60)</f>
      </c>
      <c r="L390" s="5">
        <f>IF(J390="","",(H390-J390)/60)</f>
      </c>
      <c r="M390" s="5">
        <f>IF(I390="Y",K390,0)</f>
      </c>
      <c r="N390" s="3">
        <f>IF(I390="Y",MAX(0,N(F390)),0)</f>
      </c>
      <c r="O390" s="5">
        <f>IF(M390&gt;0,N390/M390,"")</f>
      </c>
    </row>
    <row r="391" spans="1:15" x14ac:dyDescent="0.25">
      <c r="A391" s="2">
        <v>46317</v>
      </c>
      <c r="B391" s="10">
        <v>0.1875</v>
      </c>
      <c r="C391" s="10">
        <v>0.20833333333333334</v>
      </c>
      <c r="D391" s="11"/>
      <c r="E391" s="11"/>
      <c r="F391" s="11"/>
      <c r="G391" s="11"/>
      <c r="H391" s="11">
        <v>30</v>
      </c>
      <c r="I391" s="3">
        <f>IF(D391="","",IFERROR(VLOOKUP(D391,Setup!$A$2:$B$60,2,FALSE),""))</f>
      </c>
      <c r="J391" s="7">
        <f>IF(I391="","",MIN(MAX(0,IF(G391="",H391,G391)),H391))</f>
      </c>
      <c r="K391" s="5">
        <f>IF(J391="","",J391/60)</f>
      </c>
      <c r="L391" s="5">
        <f>IF(J391="","",(H391-J391)/60)</f>
      </c>
      <c r="M391" s="5">
        <f>IF(I391="Y",K391,0)</f>
      </c>
      <c r="N391" s="3">
        <f>IF(I391="Y",MAX(0,N(F391)),0)</f>
      </c>
      <c r="O391" s="5">
        <f>IF(M391&gt;0,N391/M391,"")</f>
      </c>
    </row>
    <row r="392" spans="1:15" x14ac:dyDescent="0.25">
      <c r="A392" s="2">
        <v>46317</v>
      </c>
      <c r="B392" s="10">
        <v>0.20833333333333334</v>
      </c>
      <c r="C392" s="10">
        <v>0.22916666666666666</v>
      </c>
      <c r="D392" s="11"/>
      <c r="E392" s="11"/>
      <c r="F392" s="11"/>
      <c r="G392" s="11"/>
      <c r="H392" s="11">
        <v>30</v>
      </c>
      <c r="I392" s="3">
        <f>IF(D392="","",IFERROR(VLOOKUP(D392,Setup!$A$2:$B$60,2,FALSE),""))</f>
      </c>
      <c r="J392" s="7">
        <f>IF(I392="","",MIN(MAX(0,IF(G392="",H392,G392)),H392))</f>
      </c>
      <c r="K392" s="5">
        <f>IF(J392="","",J392/60)</f>
      </c>
      <c r="L392" s="5">
        <f>IF(J392="","",(H392-J392)/60)</f>
      </c>
      <c r="M392" s="5">
        <f>IF(I392="Y",K392,0)</f>
      </c>
      <c r="N392" s="3">
        <f>IF(I392="Y",MAX(0,N(F392)),0)</f>
      </c>
      <c r="O392" s="5">
        <f>IF(M392&gt;0,N392/M392,"")</f>
      </c>
    </row>
    <row r="393" spans="1:15" x14ac:dyDescent="0.25">
      <c r="A393" s="2">
        <v>46317</v>
      </c>
      <c r="B393" s="10">
        <v>0.22916666666666666</v>
      </c>
      <c r="C393" s="10">
        <v>0.25</v>
      </c>
      <c r="D393" s="11"/>
      <c r="E393" s="11"/>
      <c r="F393" s="11"/>
      <c r="G393" s="11"/>
      <c r="H393" s="11">
        <v>30</v>
      </c>
      <c r="I393" s="3">
        <f>IF(D393="","",IFERROR(VLOOKUP(D393,Setup!$A$2:$B$60,2,FALSE),""))</f>
      </c>
      <c r="J393" s="7">
        <f>IF(I393="","",MIN(MAX(0,IF(G393="",H393,G393)),H393))</f>
      </c>
      <c r="K393" s="5">
        <f>IF(J393="","",J393/60)</f>
      </c>
      <c r="L393" s="5">
        <f>IF(J393="","",(H393-J393)/60)</f>
      </c>
      <c r="M393" s="5">
        <f>IF(I393="Y",K393,0)</f>
      </c>
      <c r="N393" s="3">
        <f>IF(I393="Y",MAX(0,N(F393)),0)</f>
      </c>
      <c r="O393" s="5">
        <f>IF(M393&gt;0,N393/M393,"")</f>
      </c>
    </row>
    <row r="394" spans="1:15" x14ac:dyDescent="0.25">
      <c r="A394" s="2">
        <v>46317</v>
      </c>
      <c r="B394" s="10">
        <v>0.25</v>
      </c>
      <c r="C394" s="10">
        <v>0.2708333333333333</v>
      </c>
      <c r="D394" s="11"/>
      <c r="E394" s="11"/>
      <c r="F394" s="11"/>
      <c r="G394" s="11"/>
      <c r="H394" s="11">
        <v>30</v>
      </c>
      <c r="I394" s="3">
        <f>IF(D394="","",IFERROR(VLOOKUP(D394,Setup!$A$2:$B$60,2,FALSE),""))</f>
      </c>
      <c r="J394" s="7">
        <f>IF(I394="","",MIN(MAX(0,IF(G394="",H394,G394)),H394))</f>
      </c>
      <c r="K394" s="5">
        <f>IF(J394="","",J394/60)</f>
      </c>
      <c r="L394" s="5">
        <f>IF(J394="","",(H394-J394)/60)</f>
      </c>
      <c r="M394" s="5">
        <f>IF(I394="Y",K394,0)</f>
      </c>
      <c r="N394" s="3">
        <f>IF(I394="Y",MAX(0,N(F394)),0)</f>
      </c>
      <c r="O394" s="5">
        <f>IF(M394&gt;0,N394/M394,"")</f>
      </c>
    </row>
    <row r="395" spans="1:15" x14ac:dyDescent="0.25">
      <c r="A395" s="2">
        <v>46317</v>
      </c>
      <c r="B395" s="10">
        <v>0.2708333333333333</v>
      </c>
      <c r="C395" s="10">
        <v>0.2916666666666667</v>
      </c>
      <c r="D395" s="11"/>
      <c r="E395" s="11"/>
      <c r="F395" s="11"/>
      <c r="G395" s="11"/>
      <c r="H395" s="11">
        <v>30</v>
      </c>
      <c r="I395" s="3">
        <f>IF(D395="","",IFERROR(VLOOKUP(D395,Setup!$A$2:$B$60,2,FALSE),""))</f>
      </c>
      <c r="J395" s="7">
        <f>IF(I395="","",MIN(MAX(0,IF(G395="",H395,G395)),H395))</f>
      </c>
      <c r="K395" s="5">
        <f>IF(J395="","",J395/60)</f>
      </c>
      <c r="L395" s="5">
        <f>IF(J395="","",(H395-J395)/60)</f>
      </c>
      <c r="M395" s="5">
        <f>IF(I395="Y",K395,0)</f>
      </c>
      <c r="N395" s="3">
        <f>IF(I395="Y",MAX(0,N(F395)),0)</f>
      </c>
      <c r="O395" s="5">
        <f>IF(M395&gt;0,N395/M395,"")</f>
      </c>
    </row>
    <row r="396" spans="1:15" x14ac:dyDescent="0.25">
      <c r="A396" s="2">
        <v>46317</v>
      </c>
      <c r="B396" s="10">
        <v>0.2916666666666667</v>
      </c>
      <c r="C396" s="10">
        <v>0.3125</v>
      </c>
      <c r="D396" s="11"/>
      <c r="E396" s="11"/>
      <c r="F396" s="11"/>
      <c r="G396" s="11"/>
      <c r="H396" s="11">
        <v>30</v>
      </c>
      <c r="I396" s="3">
        <f>IF(D396="","",IFERROR(VLOOKUP(D396,Setup!$A$2:$B$60,2,FALSE),""))</f>
      </c>
      <c r="J396" s="7">
        <f>IF(I396="","",MIN(MAX(0,IF(G396="",H396,G396)),H396))</f>
      </c>
      <c r="K396" s="5">
        <f>IF(J396="","",J396/60)</f>
      </c>
      <c r="L396" s="5">
        <f>IF(J396="","",(H396-J396)/60)</f>
      </c>
      <c r="M396" s="5">
        <f>IF(I396="Y",K396,0)</f>
      </c>
      <c r="N396" s="3">
        <f>IF(I396="Y",MAX(0,N(F396)),0)</f>
      </c>
      <c r="O396" s="5">
        <f>IF(M396&gt;0,N396/M396,"")</f>
      </c>
    </row>
    <row r="397" spans="1:15" x14ac:dyDescent="0.25">
      <c r="A397" s="2">
        <v>46317</v>
      </c>
      <c r="B397" s="10">
        <v>0.3125</v>
      </c>
      <c r="C397" s="10">
        <v>0.3333333333333333</v>
      </c>
      <c r="D397" s="11"/>
      <c r="E397" s="11"/>
      <c r="F397" s="11"/>
      <c r="G397" s="11"/>
      <c r="H397" s="11">
        <v>30</v>
      </c>
      <c r="I397" s="3">
        <f>IF(D397="","",IFERROR(VLOOKUP(D397,Setup!$A$2:$B$60,2,FALSE),""))</f>
      </c>
      <c r="J397" s="7">
        <f>IF(I397="","",MIN(MAX(0,IF(G397="",H397,G397)),H397))</f>
      </c>
      <c r="K397" s="5">
        <f>IF(J397="","",J397/60)</f>
      </c>
      <c r="L397" s="5">
        <f>IF(J397="","",(H397-J397)/60)</f>
      </c>
      <c r="M397" s="5">
        <f>IF(I397="Y",K397,0)</f>
      </c>
      <c r="N397" s="3">
        <f>IF(I397="Y",MAX(0,N(F397)),0)</f>
      </c>
      <c r="O397" s="5">
        <f>IF(M397&gt;0,N397/M397,"")</f>
      </c>
    </row>
    <row r="398" spans="1:15" x14ac:dyDescent="0.25">
      <c r="A398" s="2">
        <v>46318</v>
      </c>
      <c r="B398" s="10">
        <v>0.9583333333333334</v>
      </c>
      <c r="C398" s="10">
        <v>0.9791666666666666</v>
      </c>
      <c r="D398" s="11"/>
      <c r="E398" s="11"/>
      <c r="F398" s="11"/>
      <c r="G398" s="11"/>
      <c r="H398" s="11">
        <v>30</v>
      </c>
      <c r="I398" s="3">
        <f>IF(D398="","",IFERROR(VLOOKUP(D398,Setup!$A$2:$B$60,2,FALSE),""))</f>
      </c>
      <c r="J398" s="7">
        <f>IF(I398="","",MIN(MAX(0,IF(G398="",H398,G398)),H398))</f>
      </c>
      <c r="K398" s="5">
        <f>IF(J398="","",J398/60)</f>
      </c>
      <c r="L398" s="5">
        <f>IF(J398="","",(H398-J398)/60)</f>
      </c>
      <c r="M398" s="5">
        <f>IF(I398="Y",K398,0)</f>
      </c>
      <c r="N398" s="3">
        <f>IF(I398="Y",MAX(0,N(F398)),0)</f>
      </c>
      <c r="O398" s="5">
        <f>IF(M398&gt;0,N398/M398,"")</f>
      </c>
    </row>
    <row r="399" spans="1:15" x14ac:dyDescent="0.25">
      <c r="A399" s="2">
        <v>46318</v>
      </c>
      <c r="B399" s="10">
        <v>0.9791666666666666</v>
      </c>
      <c r="C399" s="10">
        <v>0</v>
      </c>
      <c r="D399" s="11"/>
      <c r="E399" s="11"/>
      <c r="F399" s="11"/>
      <c r="G399" s="11"/>
      <c r="H399" s="11">
        <v>30</v>
      </c>
      <c r="I399" s="3">
        <f>IF(D399="","",IFERROR(VLOOKUP(D399,Setup!$A$2:$B$60,2,FALSE),""))</f>
      </c>
      <c r="J399" s="7">
        <f>IF(I399="","",MIN(MAX(0,IF(G399="",H399,G399)),H399))</f>
      </c>
      <c r="K399" s="5">
        <f>IF(J399="","",J399/60)</f>
      </c>
      <c r="L399" s="5">
        <f>IF(J399="","",(H399-J399)/60)</f>
      </c>
      <c r="M399" s="5">
        <f>IF(I399="Y",K399,0)</f>
      </c>
      <c r="N399" s="3">
        <f>IF(I399="Y",MAX(0,N(F399)),0)</f>
      </c>
      <c r="O399" s="5">
        <f>IF(M399&gt;0,N399/M399,"")</f>
      </c>
    </row>
    <row r="400" spans="1:15" x14ac:dyDescent="0.25">
      <c r="A400" s="2">
        <v>46318</v>
      </c>
      <c r="B400" s="10">
        <v>0</v>
      </c>
      <c r="C400" s="10">
        <v>0.020833333333333332</v>
      </c>
      <c r="D400" s="11"/>
      <c r="E400" s="11"/>
      <c r="F400" s="11"/>
      <c r="G400" s="11"/>
      <c r="H400" s="11">
        <v>30</v>
      </c>
      <c r="I400" s="3">
        <f>IF(D400="","",IFERROR(VLOOKUP(D400,Setup!$A$2:$B$60,2,FALSE),""))</f>
      </c>
      <c r="J400" s="7">
        <f>IF(I400="","",MIN(MAX(0,IF(G400="",H400,G400)),H400))</f>
      </c>
      <c r="K400" s="5">
        <f>IF(J400="","",J400/60)</f>
      </c>
      <c r="L400" s="5">
        <f>IF(J400="","",(H400-J400)/60)</f>
      </c>
      <c r="M400" s="5">
        <f>IF(I400="Y",K400,0)</f>
      </c>
      <c r="N400" s="3">
        <f>IF(I400="Y",MAX(0,N(F400)),0)</f>
      </c>
      <c r="O400" s="5">
        <f>IF(M400&gt;0,N400/M400,"")</f>
      </c>
    </row>
    <row r="401" spans="1:15" x14ac:dyDescent="0.25">
      <c r="A401" s="2">
        <v>46318</v>
      </c>
      <c r="B401" s="10">
        <v>0.020833333333333332</v>
      </c>
      <c r="C401" s="10">
        <v>0.041666666666666664</v>
      </c>
      <c r="D401" s="11"/>
      <c r="E401" s="11"/>
      <c r="F401" s="11"/>
      <c r="G401" s="11"/>
      <c r="H401" s="11">
        <v>30</v>
      </c>
      <c r="I401" s="3">
        <f>IF(D401="","",IFERROR(VLOOKUP(D401,Setup!$A$2:$B$60,2,FALSE),""))</f>
      </c>
      <c r="J401" s="7">
        <f>IF(I401="","",MIN(MAX(0,IF(G401="",H401,G401)),H401))</f>
      </c>
      <c r="K401" s="5">
        <f>IF(J401="","",J401/60)</f>
      </c>
      <c r="L401" s="5">
        <f>IF(J401="","",(H401-J401)/60)</f>
      </c>
      <c r="M401" s="5">
        <f>IF(I401="Y",K401,0)</f>
      </c>
      <c r="N401" s="3">
        <f>IF(I401="Y",MAX(0,N(F401)),0)</f>
      </c>
      <c r="O401" s="5">
        <f>IF(M401&gt;0,N401/M401,"")</f>
      </c>
    </row>
    <row r="402" spans="1:15" x14ac:dyDescent="0.25">
      <c r="A402" s="2">
        <v>46318</v>
      </c>
      <c r="B402" s="10">
        <v>0.041666666666666664</v>
      </c>
      <c r="C402" s="10">
        <v>0.0625</v>
      </c>
      <c r="D402" s="11"/>
      <c r="E402" s="11"/>
      <c r="F402" s="11"/>
      <c r="G402" s="11"/>
      <c r="H402" s="11">
        <v>30</v>
      </c>
      <c r="I402" s="3">
        <f>IF(D402="","",IFERROR(VLOOKUP(D402,Setup!$A$2:$B$60,2,FALSE),""))</f>
      </c>
      <c r="J402" s="7">
        <f>IF(I402="","",MIN(MAX(0,IF(G402="",H402,G402)),H402))</f>
      </c>
      <c r="K402" s="5">
        <f>IF(J402="","",J402/60)</f>
      </c>
      <c r="L402" s="5">
        <f>IF(J402="","",(H402-J402)/60)</f>
      </c>
      <c r="M402" s="5">
        <f>IF(I402="Y",K402,0)</f>
      </c>
      <c r="N402" s="3">
        <f>IF(I402="Y",MAX(0,N(F402)),0)</f>
      </c>
      <c r="O402" s="5">
        <f>IF(M402&gt;0,N402/M402,"")</f>
      </c>
    </row>
    <row r="403" spans="1:15" x14ac:dyDescent="0.25">
      <c r="A403" s="2">
        <v>46318</v>
      </c>
      <c r="B403" s="10">
        <v>0.0625</v>
      </c>
      <c r="C403" s="10">
        <v>0.08333333333333333</v>
      </c>
      <c r="D403" s="11"/>
      <c r="E403" s="11"/>
      <c r="F403" s="11"/>
      <c r="G403" s="11"/>
      <c r="H403" s="11">
        <v>30</v>
      </c>
      <c r="I403" s="3">
        <f>IF(D403="","",IFERROR(VLOOKUP(D403,Setup!$A$2:$B$60,2,FALSE),""))</f>
      </c>
      <c r="J403" s="7">
        <f>IF(I403="","",MIN(MAX(0,IF(G403="",H403,G403)),H403))</f>
      </c>
      <c r="K403" s="5">
        <f>IF(J403="","",J403/60)</f>
      </c>
      <c r="L403" s="5">
        <f>IF(J403="","",(H403-J403)/60)</f>
      </c>
      <c r="M403" s="5">
        <f>IF(I403="Y",K403,0)</f>
      </c>
      <c r="N403" s="3">
        <f>IF(I403="Y",MAX(0,N(F403)),0)</f>
      </c>
      <c r="O403" s="5">
        <f>IF(M403&gt;0,N403/M403,"")</f>
      </c>
    </row>
    <row r="404" spans="1:15" x14ac:dyDescent="0.25">
      <c r="A404" s="2">
        <v>46318</v>
      </c>
      <c r="B404" s="10">
        <v>0.08333333333333333</v>
      </c>
      <c r="C404" s="10">
        <v>0.10416666666666667</v>
      </c>
      <c r="D404" s="11"/>
      <c r="E404" s="11"/>
      <c r="F404" s="11"/>
      <c r="G404" s="11"/>
      <c r="H404" s="11">
        <v>30</v>
      </c>
      <c r="I404" s="3">
        <f>IF(D404="","",IFERROR(VLOOKUP(D404,Setup!$A$2:$B$60,2,FALSE),""))</f>
      </c>
      <c r="J404" s="7">
        <f>IF(I404="","",MIN(MAX(0,IF(G404="",H404,G404)),H404))</f>
      </c>
      <c r="K404" s="5">
        <f>IF(J404="","",J404/60)</f>
      </c>
      <c r="L404" s="5">
        <f>IF(J404="","",(H404-J404)/60)</f>
      </c>
      <c r="M404" s="5">
        <f>IF(I404="Y",K404,0)</f>
      </c>
      <c r="N404" s="3">
        <f>IF(I404="Y",MAX(0,N(F404)),0)</f>
      </c>
      <c r="O404" s="5">
        <f>IF(M404&gt;0,N404/M404,"")</f>
      </c>
    </row>
    <row r="405" spans="1:15" x14ac:dyDescent="0.25">
      <c r="A405" s="2">
        <v>46318</v>
      </c>
      <c r="B405" s="10">
        <v>0.10416666666666667</v>
      </c>
      <c r="C405" s="10">
        <v>0.125</v>
      </c>
      <c r="D405" s="11"/>
      <c r="E405" s="11"/>
      <c r="F405" s="11"/>
      <c r="G405" s="11"/>
      <c r="H405" s="11">
        <v>30</v>
      </c>
      <c r="I405" s="3">
        <f>IF(D405="","",IFERROR(VLOOKUP(D405,Setup!$A$2:$B$60,2,FALSE),""))</f>
      </c>
      <c r="J405" s="7">
        <f>IF(I405="","",MIN(MAX(0,IF(G405="",H405,G405)),H405))</f>
      </c>
      <c r="K405" s="5">
        <f>IF(J405="","",J405/60)</f>
      </c>
      <c r="L405" s="5">
        <f>IF(J405="","",(H405-J405)/60)</f>
      </c>
      <c r="M405" s="5">
        <f>IF(I405="Y",K405,0)</f>
      </c>
      <c r="N405" s="3">
        <f>IF(I405="Y",MAX(0,N(F405)),0)</f>
      </c>
      <c r="O405" s="5">
        <f>IF(M405&gt;0,N405/M405,"")</f>
      </c>
    </row>
    <row r="406" spans="1:15" x14ac:dyDescent="0.25">
      <c r="A406" s="2">
        <v>46318</v>
      </c>
      <c r="B406" s="10">
        <v>0.125</v>
      </c>
      <c r="C406" s="10">
        <v>0.14583333333333334</v>
      </c>
      <c r="D406" s="11"/>
      <c r="E406" s="11"/>
      <c r="F406" s="11"/>
      <c r="G406" s="11"/>
      <c r="H406" s="11">
        <v>30</v>
      </c>
      <c r="I406" s="3">
        <f>IF(D406="","",IFERROR(VLOOKUP(D406,Setup!$A$2:$B$60,2,FALSE),""))</f>
      </c>
      <c r="J406" s="7">
        <f>IF(I406="","",MIN(MAX(0,IF(G406="",H406,G406)),H406))</f>
      </c>
      <c r="K406" s="5">
        <f>IF(J406="","",J406/60)</f>
      </c>
      <c r="L406" s="5">
        <f>IF(J406="","",(H406-J406)/60)</f>
      </c>
      <c r="M406" s="5">
        <f>IF(I406="Y",K406,0)</f>
      </c>
      <c r="N406" s="3">
        <f>IF(I406="Y",MAX(0,N(F406)),0)</f>
      </c>
      <c r="O406" s="5">
        <f>IF(M406&gt;0,N406/M406,"")</f>
      </c>
    </row>
    <row r="407" spans="1:15" x14ac:dyDescent="0.25">
      <c r="A407" s="2">
        <v>46318</v>
      </c>
      <c r="B407" s="10">
        <v>0.14583333333333334</v>
      </c>
      <c r="C407" s="10">
        <v>0.16666666666666666</v>
      </c>
      <c r="D407" s="11"/>
      <c r="E407" s="11"/>
      <c r="F407" s="11"/>
      <c r="G407" s="11"/>
      <c r="H407" s="11">
        <v>30</v>
      </c>
      <c r="I407" s="3">
        <f>IF(D407="","",IFERROR(VLOOKUP(D407,Setup!$A$2:$B$60,2,FALSE),""))</f>
      </c>
      <c r="J407" s="7">
        <f>IF(I407="","",MIN(MAX(0,IF(G407="",H407,G407)),H407))</f>
      </c>
      <c r="K407" s="5">
        <f>IF(J407="","",J407/60)</f>
      </c>
      <c r="L407" s="5">
        <f>IF(J407="","",(H407-J407)/60)</f>
      </c>
      <c r="M407" s="5">
        <f>IF(I407="Y",K407,0)</f>
      </c>
      <c r="N407" s="3">
        <f>IF(I407="Y",MAX(0,N(F407)),0)</f>
      </c>
      <c r="O407" s="5">
        <f>IF(M407&gt;0,N407/M407,"")</f>
      </c>
    </row>
    <row r="408" spans="1:15" x14ac:dyDescent="0.25">
      <c r="A408" s="2">
        <v>46318</v>
      </c>
      <c r="B408" s="10">
        <v>0.16666666666666666</v>
      </c>
      <c r="C408" s="10">
        <v>0.1875</v>
      </c>
      <c r="D408" s="11"/>
      <c r="E408" s="11"/>
      <c r="F408" s="11"/>
      <c r="G408" s="11"/>
      <c r="H408" s="11">
        <v>30</v>
      </c>
      <c r="I408" s="3">
        <f>IF(D408="","",IFERROR(VLOOKUP(D408,Setup!$A$2:$B$60,2,FALSE),""))</f>
      </c>
      <c r="J408" s="7">
        <f>IF(I408="","",MIN(MAX(0,IF(G408="",H408,G408)),H408))</f>
      </c>
      <c r="K408" s="5">
        <f>IF(J408="","",J408/60)</f>
      </c>
      <c r="L408" s="5">
        <f>IF(J408="","",(H408-J408)/60)</f>
      </c>
      <c r="M408" s="5">
        <f>IF(I408="Y",K408,0)</f>
      </c>
      <c r="N408" s="3">
        <f>IF(I408="Y",MAX(0,N(F408)),0)</f>
      </c>
      <c r="O408" s="5">
        <f>IF(M408&gt;0,N408/M408,"")</f>
      </c>
    </row>
    <row r="409" spans="1:15" x14ac:dyDescent="0.25">
      <c r="A409" s="2">
        <v>46318</v>
      </c>
      <c r="B409" s="10">
        <v>0.1875</v>
      </c>
      <c r="C409" s="10">
        <v>0.20833333333333334</v>
      </c>
      <c r="D409" s="11"/>
      <c r="E409" s="11"/>
      <c r="F409" s="11"/>
      <c r="G409" s="11"/>
      <c r="H409" s="11">
        <v>30</v>
      </c>
      <c r="I409" s="3">
        <f>IF(D409="","",IFERROR(VLOOKUP(D409,Setup!$A$2:$B$60,2,FALSE),""))</f>
      </c>
      <c r="J409" s="7">
        <f>IF(I409="","",MIN(MAX(0,IF(G409="",H409,G409)),H409))</f>
      </c>
      <c r="K409" s="5">
        <f>IF(J409="","",J409/60)</f>
      </c>
      <c r="L409" s="5">
        <f>IF(J409="","",(H409-J409)/60)</f>
      </c>
      <c r="M409" s="5">
        <f>IF(I409="Y",K409,0)</f>
      </c>
      <c r="N409" s="3">
        <f>IF(I409="Y",MAX(0,N(F409)),0)</f>
      </c>
      <c r="O409" s="5">
        <f>IF(M409&gt;0,N409/M409,"")</f>
      </c>
    </row>
    <row r="410" spans="1:15" x14ac:dyDescent="0.25">
      <c r="A410" s="2">
        <v>46318</v>
      </c>
      <c r="B410" s="10">
        <v>0.20833333333333334</v>
      </c>
      <c r="C410" s="10">
        <v>0.22916666666666666</v>
      </c>
      <c r="D410" s="11"/>
      <c r="E410" s="11"/>
      <c r="F410" s="11"/>
      <c r="G410" s="11"/>
      <c r="H410" s="11">
        <v>30</v>
      </c>
      <c r="I410" s="3">
        <f>IF(D410="","",IFERROR(VLOOKUP(D410,Setup!$A$2:$B$60,2,FALSE),""))</f>
      </c>
      <c r="J410" s="7">
        <f>IF(I410="","",MIN(MAX(0,IF(G410="",H410,G410)),H410))</f>
      </c>
      <c r="K410" s="5">
        <f>IF(J410="","",J410/60)</f>
      </c>
      <c r="L410" s="5">
        <f>IF(J410="","",(H410-J410)/60)</f>
      </c>
      <c r="M410" s="5">
        <f>IF(I410="Y",K410,0)</f>
      </c>
      <c r="N410" s="3">
        <f>IF(I410="Y",MAX(0,N(F410)),0)</f>
      </c>
      <c r="O410" s="5">
        <f>IF(M410&gt;0,N410/M410,"")</f>
      </c>
    </row>
    <row r="411" spans="1:15" x14ac:dyDescent="0.25">
      <c r="A411" s="2">
        <v>46318</v>
      </c>
      <c r="B411" s="10">
        <v>0.22916666666666666</v>
      </c>
      <c r="C411" s="10">
        <v>0.25</v>
      </c>
      <c r="D411" s="11"/>
      <c r="E411" s="11"/>
      <c r="F411" s="11"/>
      <c r="G411" s="11"/>
      <c r="H411" s="11">
        <v>30</v>
      </c>
      <c r="I411" s="3">
        <f>IF(D411="","",IFERROR(VLOOKUP(D411,Setup!$A$2:$B$60,2,FALSE),""))</f>
      </c>
      <c r="J411" s="7">
        <f>IF(I411="","",MIN(MAX(0,IF(G411="",H411,G411)),H411))</f>
      </c>
      <c r="K411" s="5">
        <f>IF(J411="","",J411/60)</f>
      </c>
      <c r="L411" s="5">
        <f>IF(J411="","",(H411-J411)/60)</f>
      </c>
      <c r="M411" s="5">
        <f>IF(I411="Y",K411,0)</f>
      </c>
      <c r="N411" s="3">
        <f>IF(I411="Y",MAX(0,N(F411)),0)</f>
      </c>
      <c r="O411" s="5">
        <f>IF(M411&gt;0,N411/M411,"")</f>
      </c>
    </row>
    <row r="412" spans="1:15" x14ac:dyDescent="0.25">
      <c r="A412" s="2">
        <v>46318</v>
      </c>
      <c r="B412" s="10">
        <v>0.25</v>
      </c>
      <c r="C412" s="10">
        <v>0.2708333333333333</v>
      </c>
      <c r="D412" s="11"/>
      <c r="E412" s="11"/>
      <c r="F412" s="11"/>
      <c r="G412" s="11"/>
      <c r="H412" s="11">
        <v>30</v>
      </c>
      <c r="I412" s="3">
        <f>IF(D412="","",IFERROR(VLOOKUP(D412,Setup!$A$2:$B$60,2,FALSE),""))</f>
      </c>
      <c r="J412" s="7">
        <f>IF(I412="","",MIN(MAX(0,IF(G412="",H412,G412)),H412))</f>
      </c>
      <c r="K412" s="5">
        <f>IF(J412="","",J412/60)</f>
      </c>
      <c r="L412" s="5">
        <f>IF(J412="","",(H412-J412)/60)</f>
      </c>
      <c r="M412" s="5">
        <f>IF(I412="Y",K412,0)</f>
      </c>
      <c r="N412" s="3">
        <f>IF(I412="Y",MAX(0,N(F412)),0)</f>
      </c>
      <c r="O412" s="5">
        <f>IF(M412&gt;0,N412/M412,"")</f>
      </c>
    </row>
    <row r="413" spans="1:15" x14ac:dyDescent="0.25">
      <c r="A413" s="2">
        <v>46318</v>
      </c>
      <c r="B413" s="10">
        <v>0.2708333333333333</v>
      </c>
      <c r="C413" s="10">
        <v>0.2916666666666667</v>
      </c>
      <c r="D413" s="11"/>
      <c r="E413" s="11"/>
      <c r="F413" s="11"/>
      <c r="G413" s="11"/>
      <c r="H413" s="11">
        <v>30</v>
      </c>
      <c r="I413" s="3">
        <f>IF(D413="","",IFERROR(VLOOKUP(D413,Setup!$A$2:$B$60,2,FALSE),""))</f>
      </c>
      <c r="J413" s="7">
        <f>IF(I413="","",MIN(MAX(0,IF(G413="",H413,G413)),H413))</f>
      </c>
      <c r="K413" s="5">
        <f>IF(J413="","",J413/60)</f>
      </c>
      <c r="L413" s="5">
        <f>IF(J413="","",(H413-J413)/60)</f>
      </c>
      <c r="M413" s="5">
        <f>IF(I413="Y",K413,0)</f>
      </c>
      <c r="N413" s="3">
        <f>IF(I413="Y",MAX(0,N(F413)),0)</f>
      </c>
      <c r="O413" s="5">
        <f>IF(M413&gt;0,N413/M413,"")</f>
      </c>
    </row>
    <row r="414" spans="1:15" x14ac:dyDescent="0.25">
      <c r="A414" s="2">
        <v>46318</v>
      </c>
      <c r="B414" s="10">
        <v>0.2916666666666667</v>
      </c>
      <c r="C414" s="10">
        <v>0.3125</v>
      </c>
      <c r="D414" s="11"/>
      <c r="E414" s="11"/>
      <c r="F414" s="11"/>
      <c r="G414" s="11"/>
      <c r="H414" s="11">
        <v>30</v>
      </c>
      <c r="I414" s="3">
        <f>IF(D414="","",IFERROR(VLOOKUP(D414,Setup!$A$2:$B$60,2,FALSE),""))</f>
      </c>
      <c r="J414" s="7">
        <f>IF(I414="","",MIN(MAX(0,IF(G414="",H414,G414)),H414))</f>
      </c>
      <c r="K414" s="5">
        <f>IF(J414="","",J414/60)</f>
      </c>
      <c r="L414" s="5">
        <f>IF(J414="","",(H414-J414)/60)</f>
      </c>
      <c r="M414" s="5">
        <f>IF(I414="Y",K414,0)</f>
      </c>
      <c r="N414" s="3">
        <f>IF(I414="Y",MAX(0,N(F414)),0)</f>
      </c>
      <c r="O414" s="5">
        <f>IF(M414&gt;0,N414/M414,"")</f>
      </c>
    </row>
    <row r="415" spans="1:15" x14ac:dyDescent="0.25">
      <c r="A415" s="2">
        <v>46318</v>
      </c>
      <c r="B415" s="10">
        <v>0.3125</v>
      </c>
      <c r="C415" s="10">
        <v>0.3333333333333333</v>
      </c>
      <c r="D415" s="11"/>
      <c r="E415" s="11"/>
      <c r="F415" s="11"/>
      <c r="G415" s="11"/>
      <c r="H415" s="11">
        <v>30</v>
      </c>
      <c r="I415" s="3">
        <f>IF(D415="","",IFERROR(VLOOKUP(D415,Setup!$A$2:$B$60,2,FALSE),""))</f>
      </c>
      <c r="J415" s="7">
        <f>IF(I415="","",MIN(MAX(0,IF(G415="",H415,G415)),H415))</f>
      </c>
      <c r="K415" s="5">
        <f>IF(J415="","",J415/60)</f>
      </c>
      <c r="L415" s="5">
        <f>IF(J415="","",(H415-J415)/60)</f>
      </c>
      <c r="M415" s="5">
        <f>IF(I415="Y",K415,0)</f>
      </c>
      <c r="N415" s="3">
        <f>IF(I415="Y",MAX(0,N(F415)),0)</f>
      </c>
      <c r="O415" s="5">
        <f>IF(M415&gt;0,N415/M415,"")</f>
      </c>
    </row>
    <row r="416" spans="1:15" x14ac:dyDescent="0.25">
      <c r="A416" s="2">
        <v>46319</v>
      </c>
      <c r="B416" s="10">
        <v>0.9583333333333334</v>
      </c>
      <c r="C416" s="10">
        <v>0.9791666666666666</v>
      </c>
      <c r="D416" s="11"/>
      <c r="E416" s="11"/>
      <c r="F416" s="11"/>
      <c r="G416" s="11"/>
      <c r="H416" s="11">
        <v>30</v>
      </c>
      <c r="I416" s="3">
        <f>IF(D416="","",IFERROR(VLOOKUP(D416,Setup!$A$2:$B$60,2,FALSE),""))</f>
      </c>
      <c r="J416" s="7">
        <f>IF(I416="","",MIN(MAX(0,IF(G416="",H416,G416)),H416))</f>
      </c>
      <c r="K416" s="5">
        <f>IF(J416="","",J416/60)</f>
      </c>
      <c r="L416" s="5">
        <f>IF(J416="","",(H416-J416)/60)</f>
      </c>
      <c r="M416" s="5">
        <f>IF(I416="Y",K416,0)</f>
      </c>
      <c r="N416" s="3">
        <f>IF(I416="Y",MAX(0,N(F416)),0)</f>
      </c>
      <c r="O416" s="5">
        <f>IF(M416&gt;0,N416/M416,"")</f>
      </c>
    </row>
    <row r="417" spans="1:15" x14ac:dyDescent="0.25">
      <c r="A417" s="2">
        <v>46319</v>
      </c>
      <c r="B417" s="10">
        <v>0.9791666666666666</v>
      </c>
      <c r="C417" s="10">
        <v>0</v>
      </c>
      <c r="D417" s="11"/>
      <c r="E417" s="11"/>
      <c r="F417" s="11"/>
      <c r="G417" s="11"/>
      <c r="H417" s="11">
        <v>30</v>
      </c>
      <c r="I417" s="3">
        <f>IF(D417="","",IFERROR(VLOOKUP(D417,Setup!$A$2:$B$60,2,FALSE),""))</f>
      </c>
      <c r="J417" s="7">
        <f>IF(I417="","",MIN(MAX(0,IF(G417="",H417,G417)),H417))</f>
      </c>
      <c r="K417" s="5">
        <f>IF(J417="","",J417/60)</f>
      </c>
      <c r="L417" s="5">
        <f>IF(J417="","",(H417-J417)/60)</f>
      </c>
      <c r="M417" s="5">
        <f>IF(I417="Y",K417,0)</f>
      </c>
      <c r="N417" s="3">
        <f>IF(I417="Y",MAX(0,N(F417)),0)</f>
      </c>
      <c r="O417" s="5">
        <f>IF(M417&gt;0,N417/M417,"")</f>
      </c>
    </row>
    <row r="418" spans="1:15" x14ac:dyDescent="0.25">
      <c r="A418" s="2">
        <v>46319</v>
      </c>
      <c r="B418" s="10">
        <v>0</v>
      </c>
      <c r="C418" s="10">
        <v>0.020833333333333332</v>
      </c>
      <c r="D418" s="11"/>
      <c r="E418" s="11"/>
      <c r="F418" s="11"/>
      <c r="G418" s="11"/>
      <c r="H418" s="11">
        <v>30</v>
      </c>
      <c r="I418" s="3">
        <f>IF(D418="","",IFERROR(VLOOKUP(D418,Setup!$A$2:$B$60,2,FALSE),""))</f>
      </c>
      <c r="J418" s="7">
        <f>IF(I418="","",MIN(MAX(0,IF(G418="",H418,G418)),H418))</f>
      </c>
      <c r="K418" s="5">
        <f>IF(J418="","",J418/60)</f>
      </c>
      <c r="L418" s="5">
        <f>IF(J418="","",(H418-J418)/60)</f>
      </c>
      <c r="M418" s="5">
        <f>IF(I418="Y",K418,0)</f>
      </c>
      <c r="N418" s="3">
        <f>IF(I418="Y",MAX(0,N(F418)),0)</f>
      </c>
      <c r="O418" s="5">
        <f>IF(M418&gt;0,N418/M418,"")</f>
      </c>
    </row>
    <row r="419" spans="1:15" x14ac:dyDescent="0.25">
      <c r="A419" s="2">
        <v>46319</v>
      </c>
      <c r="B419" s="10">
        <v>0.020833333333333332</v>
      </c>
      <c r="C419" s="10">
        <v>0.041666666666666664</v>
      </c>
      <c r="D419" s="11"/>
      <c r="E419" s="11"/>
      <c r="F419" s="11"/>
      <c r="G419" s="11"/>
      <c r="H419" s="11">
        <v>30</v>
      </c>
      <c r="I419" s="3">
        <f>IF(D419="","",IFERROR(VLOOKUP(D419,Setup!$A$2:$B$60,2,FALSE),""))</f>
      </c>
      <c r="J419" s="7">
        <f>IF(I419="","",MIN(MAX(0,IF(G419="",H419,G419)),H419))</f>
      </c>
      <c r="K419" s="5">
        <f>IF(J419="","",J419/60)</f>
      </c>
      <c r="L419" s="5">
        <f>IF(J419="","",(H419-J419)/60)</f>
      </c>
      <c r="M419" s="5">
        <f>IF(I419="Y",K419,0)</f>
      </c>
      <c r="N419" s="3">
        <f>IF(I419="Y",MAX(0,N(F419)),0)</f>
      </c>
      <c r="O419" s="5">
        <f>IF(M419&gt;0,N419/M419,"")</f>
      </c>
    </row>
    <row r="420" spans="1:15" x14ac:dyDescent="0.25">
      <c r="A420" s="2">
        <v>46319</v>
      </c>
      <c r="B420" s="10">
        <v>0.041666666666666664</v>
      </c>
      <c r="C420" s="10">
        <v>0.0625</v>
      </c>
      <c r="D420" s="11"/>
      <c r="E420" s="11"/>
      <c r="F420" s="11"/>
      <c r="G420" s="11"/>
      <c r="H420" s="11">
        <v>30</v>
      </c>
      <c r="I420" s="3">
        <f>IF(D420="","",IFERROR(VLOOKUP(D420,Setup!$A$2:$B$60,2,FALSE),""))</f>
      </c>
      <c r="J420" s="7">
        <f>IF(I420="","",MIN(MAX(0,IF(G420="",H420,G420)),H420))</f>
      </c>
      <c r="K420" s="5">
        <f>IF(J420="","",J420/60)</f>
      </c>
      <c r="L420" s="5">
        <f>IF(J420="","",(H420-J420)/60)</f>
      </c>
      <c r="M420" s="5">
        <f>IF(I420="Y",K420,0)</f>
      </c>
      <c r="N420" s="3">
        <f>IF(I420="Y",MAX(0,N(F420)),0)</f>
      </c>
      <c r="O420" s="5">
        <f>IF(M420&gt;0,N420/M420,"")</f>
      </c>
    </row>
    <row r="421" spans="1:15" x14ac:dyDescent="0.25">
      <c r="A421" s="2">
        <v>46319</v>
      </c>
      <c r="B421" s="10">
        <v>0.0625</v>
      </c>
      <c r="C421" s="10">
        <v>0.08333333333333333</v>
      </c>
      <c r="D421" s="11"/>
      <c r="E421" s="11"/>
      <c r="F421" s="11"/>
      <c r="G421" s="11"/>
      <c r="H421" s="11">
        <v>30</v>
      </c>
      <c r="I421" s="3">
        <f>IF(D421="","",IFERROR(VLOOKUP(D421,Setup!$A$2:$B$60,2,FALSE),""))</f>
      </c>
      <c r="J421" s="7">
        <f>IF(I421="","",MIN(MAX(0,IF(G421="",H421,G421)),H421))</f>
      </c>
      <c r="K421" s="5">
        <f>IF(J421="","",J421/60)</f>
      </c>
      <c r="L421" s="5">
        <f>IF(J421="","",(H421-J421)/60)</f>
      </c>
      <c r="M421" s="5">
        <f>IF(I421="Y",K421,0)</f>
      </c>
      <c r="N421" s="3">
        <f>IF(I421="Y",MAX(0,N(F421)),0)</f>
      </c>
      <c r="O421" s="5">
        <f>IF(M421&gt;0,N421/M421,"")</f>
      </c>
    </row>
    <row r="422" spans="1:15" x14ac:dyDescent="0.25">
      <c r="A422" s="2">
        <v>46319</v>
      </c>
      <c r="B422" s="10">
        <v>0.08333333333333333</v>
      </c>
      <c r="C422" s="10">
        <v>0.10416666666666667</v>
      </c>
      <c r="D422" s="11"/>
      <c r="E422" s="11"/>
      <c r="F422" s="11"/>
      <c r="G422" s="11"/>
      <c r="H422" s="11">
        <v>30</v>
      </c>
      <c r="I422" s="3">
        <f>IF(D422="","",IFERROR(VLOOKUP(D422,Setup!$A$2:$B$60,2,FALSE),""))</f>
      </c>
      <c r="J422" s="7">
        <f>IF(I422="","",MIN(MAX(0,IF(G422="",H422,G422)),H422))</f>
      </c>
      <c r="K422" s="5">
        <f>IF(J422="","",J422/60)</f>
      </c>
      <c r="L422" s="5">
        <f>IF(J422="","",(H422-J422)/60)</f>
      </c>
      <c r="M422" s="5">
        <f>IF(I422="Y",K422,0)</f>
      </c>
      <c r="N422" s="3">
        <f>IF(I422="Y",MAX(0,N(F422)),0)</f>
      </c>
      <c r="O422" s="5">
        <f>IF(M422&gt;0,N422/M422,"")</f>
      </c>
    </row>
    <row r="423" spans="1:15" x14ac:dyDescent="0.25">
      <c r="A423" s="2">
        <v>46319</v>
      </c>
      <c r="B423" s="10">
        <v>0.10416666666666667</v>
      </c>
      <c r="C423" s="10">
        <v>0.125</v>
      </c>
      <c r="D423" s="11"/>
      <c r="E423" s="11"/>
      <c r="F423" s="11"/>
      <c r="G423" s="11"/>
      <c r="H423" s="11">
        <v>30</v>
      </c>
      <c r="I423" s="3">
        <f>IF(D423="","",IFERROR(VLOOKUP(D423,Setup!$A$2:$B$60,2,FALSE),""))</f>
      </c>
      <c r="J423" s="7">
        <f>IF(I423="","",MIN(MAX(0,IF(G423="",H423,G423)),H423))</f>
      </c>
      <c r="K423" s="5">
        <f>IF(J423="","",J423/60)</f>
      </c>
      <c r="L423" s="5">
        <f>IF(J423="","",(H423-J423)/60)</f>
      </c>
      <c r="M423" s="5">
        <f>IF(I423="Y",K423,0)</f>
      </c>
      <c r="N423" s="3">
        <f>IF(I423="Y",MAX(0,N(F423)),0)</f>
      </c>
      <c r="O423" s="5">
        <f>IF(M423&gt;0,N423/M423,"")</f>
      </c>
    </row>
    <row r="424" spans="1:15" x14ac:dyDescent="0.25">
      <c r="A424" s="2">
        <v>46319</v>
      </c>
      <c r="B424" s="10">
        <v>0.125</v>
      </c>
      <c r="C424" s="10">
        <v>0.14583333333333334</v>
      </c>
      <c r="D424" s="11"/>
      <c r="E424" s="11"/>
      <c r="F424" s="11"/>
      <c r="G424" s="11"/>
      <c r="H424" s="11">
        <v>30</v>
      </c>
      <c r="I424" s="3">
        <f>IF(D424="","",IFERROR(VLOOKUP(D424,Setup!$A$2:$B$60,2,FALSE),""))</f>
      </c>
      <c r="J424" s="7">
        <f>IF(I424="","",MIN(MAX(0,IF(G424="",H424,G424)),H424))</f>
      </c>
      <c r="K424" s="5">
        <f>IF(J424="","",J424/60)</f>
      </c>
      <c r="L424" s="5">
        <f>IF(J424="","",(H424-J424)/60)</f>
      </c>
      <c r="M424" s="5">
        <f>IF(I424="Y",K424,0)</f>
      </c>
      <c r="N424" s="3">
        <f>IF(I424="Y",MAX(0,N(F424)),0)</f>
      </c>
      <c r="O424" s="5">
        <f>IF(M424&gt;0,N424/M424,"")</f>
      </c>
    </row>
    <row r="425" spans="1:15" x14ac:dyDescent="0.25">
      <c r="A425" s="2">
        <v>46319</v>
      </c>
      <c r="B425" s="10">
        <v>0.14583333333333334</v>
      </c>
      <c r="C425" s="10">
        <v>0.16666666666666666</v>
      </c>
      <c r="D425" s="11"/>
      <c r="E425" s="11"/>
      <c r="F425" s="11"/>
      <c r="G425" s="11"/>
      <c r="H425" s="11">
        <v>30</v>
      </c>
      <c r="I425" s="3">
        <f>IF(D425="","",IFERROR(VLOOKUP(D425,Setup!$A$2:$B$60,2,FALSE),""))</f>
      </c>
      <c r="J425" s="7">
        <f>IF(I425="","",MIN(MAX(0,IF(G425="",H425,G425)),H425))</f>
      </c>
      <c r="K425" s="5">
        <f>IF(J425="","",J425/60)</f>
      </c>
      <c r="L425" s="5">
        <f>IF(J425="","",(H425-J425)/60)</f>
      </c>
      <c r="M425" s="5">
        <f>IF(I425="Y",K425,0)</f>
      </c>
      <c r="N425" s="3">
        <f>IF(I425="Y",MAX(0,N(F425)),0)</f>
      </c>
      <c r="O425" s="5">
        <f>IF(M425&gt;0,N425/M425,"")</f>
      </c>
    </row>
    <row r="426" spans="1:15" x14ac:dyDescent="0.25">
      <c r="A426" s="2">
        <v>46319</v>
      </c>
      <c r="B426" s="10">
        <v>0.16666666666666666</v>
      </c>
      <c r="C426" s="10">
        <v>0.1875</v>
      </c>
      <c r="D426" s="11"/>
      <c r="E426" s="11"/>
      <c r="F426" s="11"/>
      <c r="G426" s="11"/>
      <c r="H426" s="11">
        <v>30</v>
      </c>
      <c r="I426" s="3">
        <f>IF(D426="","",IFERROR(VLOOKUP(D426,Setup!$A$2:$B$60,2,FALSE),""))</f>
      </c>
      <c r="J426" s="7">
        <f>IF(I426="","",MIN(MAX(0,IF(G426="",H426,G426)),H426))</f>
      </c>
      <c r="K426" s="5">
        <f>IF(J426="","",J426/60)</f>
      </c>
      <c r="L426" s="5">
        <f>IF(J426="","",(H426-J426)/60)</f>
      </c>
      <c r="M426" s="5">
        <f>IF(I426="Y",K426,0)</f>
      </c>
      <c r="N426" s="3">
        <f>IF(I426="Y",MAX(0,N(F426)),0)</f>
      </c>
      <c r="O426" s="5">
        <f>IF(M426&gt;0,N426/M426,"")</f>
      </c>
    </row>
    <row r="427" spans="1:15" x14ac:dyDescent="0.25">
      <c r="A427" s="2">
        <v>46319</v>
      </c>
      <c r="B427" s="10">
        <v>0.1875</v>
      </c>
      <c r="C427" s="10">
        <v>0.20833333333333334</v>
      </c>
      <c r="D427" s="11"/>
      <c r="E427" s="11"/>
      <c r="F427" s="11"/>
      <c r="G427" s="11"/>
      <c r="H427" s="11">
        <v>30</v>
      </c>
      <c r="I427" s="3">
        <f>IF(D427="","",IFERROR(VLOOKUP(D427,Setup!$A$2:$B$60,2,FALSE),""))</f>
      </c>
      <c r="J427" s="7">
        <f>IF(I427="","",MIN(MAX(0,IF(G427="",H427,G427)),H427))</f>
      </c>
      <c r="K427" s="5">
        <f>IF(J427="","",J427/60)</f>
      </c>
      <c r="L427" s="5">
        <f>IF(J427="","",(H427-J427)/60)</f>
      </c>
      <c r="M427" s="5">
        <f>IF(I427="Y",K427,0)</f>
      </c>
      <c r="N427" s="3">
        <f>IF(I427="Y",MAX(0,N(F427)),0)</f>
      </c>
      <c r="O427" s="5">
        <f>IF(M427&gt;0,N427/M427,"")</f>
      </c>
    </row>
    <row r="428" spans="1:15" x14ac:dyDescent="0.25">
      <c r="A428" s="2">
        <v>46319</v>
      </c>
      <c r="B428" s="10">
        <v>0.20833333333333334</v>
      </c>
      <c r="C428" s="10">
        <v>0.22916666666666666</v>
      </c>
      <c r="D428" s="11"/>
      <c r="E428" s="11"/>
      <c r="F428" s="11"/>
      <c r="G428" s="11"/>
      <c r="H428" s="11">
        <v>30</v>
      </c>
      <c r="I428" s="3">
        <f>IF(D428="","",IFERROR(VLOOKUP(D428,Setup!$A$2:$B$60,2,FALSE),""))</f>
      </c>
      <c r="J428" s="7">
        <f>IF(I428="","",MIN(MAX(0,IF(G428="",H428,G428)),H428))</f>
      </c>
      <c r="K428" s="5">
        <f>IF(J428="","",J428/60)</f>
      </c>
      <c r="L428" s="5">
        <f>IF(J428="","",(H428-J428)/60)</f>
      </c>
      <c r="M428" s="5">
        <f>IF(I428="Y",K428,0)</f>
      </c>
      <c r="N428" s="3">
        <f>IF(I428="Y",MAX(0,N(F428)),0)</f>
      </c>
      <c r="O428" s="5">
        <f>IF(M428&gt;0,N428/M428,"")</f>
      </c>
    </row>
    <row r="429" spans="1:15" x14ac:dyDescent="0.25">
      <c r="A429" s="2">
        <v>46319</v>
      </c>
      <c r="B429" s="10">
        <v>0.22916666666666666</v>
      </c>
      <c r="C429" s="10">
        <v>0.25</v>
      </c>
      <c r="D429" s="11"/>
      <c r="E429" s="11"/>
      <c r="F429" s="11"/>
      <c r="G429" s="11"/>
      <c r="H429" s="11">
        <v>30</v>
      </c>
      <c r="I429" s="3">
        <f>IF(D429="","",IFERROR(VLOOKUP(D429,Setup!$A$2:$B$60,2,FALSE),""))</f>
      </c>
      <c r="J429" s="7">
        <f>IF(I429="","",MIN(MAX(0,IF(G429="",H429,G429)),H429))</f>
      </c>
      <c r="K429" s="5">
        <f>IF(J429="","",J429/60)</f>
      </c>
      <c r="L429" s="5">
        <f>IF(J429="","",(H429-J429)/60)</f>
      </c>
      <c r="M429" s="5">
        <f>IF(I429="Y",K429,0)</f>
      </c>
      <c r="N429" s="3">
        <f>IF(I429="Y",MAX(0,N(F429)),0)</f>
      </c>
      <c r="O429" s="5">
        <f>IF(M429&gt;0,N429/M429,"")</f>
      </c>
    </row>
    <row r="430" spans="1:15" x14ac:dyDescent="0.25">
      <c r="A430" s="2">
        <v>46319</v>
      </c>
      <c r="B430" s="10">
        <v>0.25</v>
      </c>
      <c r="C430" s="10">
        <v>0.2708333333333333</v>
      </c>
      <c r="D430" s="11"/>
      <c r="E430" s="11"/>
      <c r="F430" s="11"/>
      <c r="G430" s="11"/>
      <c r="H430" s="11">
        <v>30</v>
      </c>
      <c r="I430" s="3">
        <f>IF(D430="","",IFERROR(VLOOKUP(D430,Setup!$A$2:$B$60,2,FALSE),""))</f>
      </c>
      <c r="J430" s="7">
        <f>IF(I430="","",MIN(MAX(0,IF(G430="",H430,G430)),H430))</f>
      </c>
      <c r="K430" s="5">
        <f>IF(J430="","",J430/60)</f>
      </c>
      <c r="L430" s="5">
        <f>IF(J430="","",(H430-J430)/60)</f>
      </c>
      <c r="M430" s="5">
        <f>IF(I430="Y",K430,0)</f>
      </c>
      <c r="N430" s="3">
        <f>IF(I430="Y",MAX(0,N(F430)),0)</f>
      </c>
      <c r="O430" s="5">
        <f>IF(M430&gt;0,N430/M430,"")</f>
      </c>
    </row>
    <row r="431" spans="1:15" x14ac:dyDescent="0.25">
      <c r="A431" s="2">
        <v>46319</v>
      </c>
      <c r="B431" s="10">
        <v>0.2708333333333333</v>
      </c>
      <c r="C431" s="10">
        <v>0.2916666666666667</v>
      </c>
      <c r="D431" s="11"/>
      <c r="E431" s="11"/>
      <c r="F431" s="11"/>
      <c r="G431" s="11"/>
      <c r="H431" s="11">
        <v>30</v>
      </c>
      <c r="I431" s="3">
        <f>IF(D431="","",IFERROR(VLOOKUP(D431,Setup!$A$2:$B$60,2,FALSE),""))</f>
      </c>
      <c r="J431" s="7">
        <f>IF(I431="","",MIN(MAX(0,IF(G431="",H431,G431)),H431))</f>
      </c>
      <c r="K431" s="5">
        <f>IF(J431="","",J431/60)</f>
      </c>
      <c r="L431" s="5">
        <f>IF(J431="","",(H431-J431)/60)</f>
      </c>
      <c r="M431" s="5">
        <f>IF(I431="Y",K431,0)</f>
      </c>
      <c r="N431" s="3">
        <f>IF(I431="Y",MAX(0,N(F431)),0)</f>
      </c>
      <c r="O431" s="5">
        <f>IF(M431&gt;0,N431/M431,"")</f>
      </c>
    </row>
    <row r="432" spans="1:15" x14ac:dyDescent="0.25">
      <c r="A432" s="2">
        <v>46319</v>
      </c>
      <c r="B432" s="10">
        <v>0.2916666666666667</v>
      </c>
      <c r="C432" s="10">
        <v>0.3125</v>
      </c>
      <c r="D432" s="11"/>
      <c r="E432" s="11"/>
      <c r="F432" s="11"/>
      <c r="G432" s="11"/>
      <c r="H432" s="11">
        <v>30</v>
      </c>
      <c r="I432" s="3">
        <f>IF(D432="","",IFERROR(VLOOKUP(D432,Setup!$A$2:$B$60,2,FALSE),""))</f>
      </c>
      <c r="J432" s="7">
        <f>IF(I432="","",MIN(MAX(0,IF(G432="",H432,G432)),H432))</f>
      </c>
      <c r="K432" s="5">
        <f>IF(J432="","",J432/60)</f>
      </c>
      <c r="L432" s="5">
        <f>IF(J432="","",(H432-J432)/60)</f>
      </c>
      <c r="M432" s="5">
        <f>IF(I432="Y",K432,0)</f>
      </c>
      <c r="N432" s="3">
        <f>IF(I432="Y",MAX(0,N(F432)),0)</f>
      </c>
      <c r="O432" s="5">
        <f>IF(M432&gt;0,N432/M432,"")</f>
      </c>
    </row>
    <row r="433" spans="1:15" x14ac:dyDescent="0.25">
      <c r="A433" s="2">
        <v>46319</v>
      </c>
      <c r="B433" s="10">
        <v>0.3125</v>
      </c>
      <c r="C433" s="10">
        <v>0.3333333333333333</v>
      </c>
      <c r="D433" s="11"/>
      <c r="E433" s="11"/>
      <c r="F433" s="11"/>
      <c r="G433" s="11"/>
      <c r="H433" s="11">
        <v>30</v>
      </c>
      <c r="I433" s="3">
        <f>IF(D433="","",IFERROR(VLOOKUP(D433,Setup!$A$2:$B$60,2,FALSE),""))</f>
      </c>
      <c r="J433" s="7">
        <f>IF(I433="","",MIN(MAX(0,IF(G433="",H433,G433)),H433))</f>
      </c>
      <c r="K433" s="5">
        <f>IF(J433="","",J433/60)</f>
      </c>
      <c r="L433" s="5">
        <f>IF(J433="","",(H433-J433)/60)</f>
      </c>
      <c r="M433" s="5">
        <f>IF(I433="Y",K433,0)</f>
      </c>
      <c r="N433" s="3">
        <f>IF(I433="Y",MAX(0,N(F433)),0)</f>
      </c>
      <c r="O433" s="5">
        <f>IF(M433&gt;0,N433/M433,"")</f>
      </c>
    </row>
    <row r="434" spans="1:15" x14ac:dyDescent="0.25">
      <c r="A434" s="2">
        <v>46320</v>
      </c>
      <c r="B434" s="10">
        <v>0.9583333333333334</v>
      </c>
      <c r="C434" s="10">
        <v>0.9791666666666666</v>
      </c>
      <c r="D434" s="11"/>
      <c r="E434" s="11"/>
      <c r="F434" s="11"/>
      <c r="G434" s="11"/>
      <c r="H434" s="11">
        <v>30</v>
      </c>
      <c r="I434" s="3">
        <f>IF(D434="","",IFERROR(VLOOKUP(D434,Setup!$A$2:$B$60,2,FALSE),""))</f>
      </c>
      <c r="J434" s="7">
        <f>IF(I434="","",MIN(MAX(0,IF(G434="",H434,G434)),H434))</f>
      </c>
      <c r="K434" s="5">
        <f>IF(J434="","",J434/60)</f>
      </c>
      <c r="L434" s="5">
        <f>IF(J434="","",(H434-J434)/60)</f>
      </c>
      <c r="M434" s="5">
        <f>IF(I434="Y",K434,0)</f>
      </c>
      <c r="N434" s="3">
        <f>IF(I434="Y",MAX(0,N(F434)),0)</f>
      </c>
      <c r="O434" s="5">
        <f>IF(M434&gt;0,N434/M434,"")</f>
      </c>
    </row>
    <row r="435" spans="1:15" x14ac:dyDescent="0.25">
      <c r="A435" s="2">
        <v>46320</v>
      </c>
      <c r="B435" s="10">
        <v>0.9791666666666666</v>
      </c>
      <c r="C435" s="10">
        <v>0</v>
      </c>
      <c r="D435" s="11"/>
      <c r="E435" s="11"/>
      <c r="F435" s="11"/>
      <c r="G435" s="11"/>
      <c r="H435" s="11">
        <v>30</v>
      </c>
      <c r="I435" s="3">
        <f>IF(D435="","",IFERROR(VLOOKUP(D435,Setup!$A$2:$B$60,2,FALSE),""))</f>
      </c>
      <c r="J435" s="7">
        <f>IF(I435="","",MIN(MAX(0,IF(G435="",H435,G435)),H435))</f>
      </c>
      <c r="K435" s="5">
        <f>IF(J435="","",J435/60)</f>
      </c>
      <c r="L435" s="5">
        <f>IF(J435="","",(H435-J435)/60)</f>
      </c>
      <c r="M435" s="5">
        <f>IF(I435="Y",K435,0)</f>
      </c>
      <c r="N435" s="3">
        <f>IF(I435="Y",MAX(0,N(F435)),0)</f>
      </c>
      <c r="O435" s="5">
        <f>IF(M435&gt;0,N435/M435,"")</f>
      </c>
    </row>
    <row r="436" spans="1:15" x14ac:dyDescent="0.25">
      <c r="A436" s="2">
        <v>46320</v>
      </c>
      <c r="B436" s="10">
        <v>0</v>
      </c>
      <c r="C436" s="10">
        <v>0.020833333333333332</v>
      </c>
      <c r="D436" s="11"/>
      <c r="E436" s="11"/>
      <c r="F436" s="11"/>
      <c r="G436" s="11"/>
      <c r="H436" s="11">
        <v>30</v>
      </c>
      <c r="I436" s="3">
        <f>IF(D436="","",IFERROR(VLOOKUP(D436,Setup!$A$2:$B$60,2,FALSE),""))</f>
      </c>
      <c r="J436" s="7">
        <f>IF(I436="","",MIN(MAX(0,IF(G436="",H436,G436)),H436))</f>
      </c>
      <c r="K436" s="5">
        <f>IF(J436="","",J436/60)</f>
      </c>
      <c r="L436" s="5">
        <f>IF(J436="","",(H436-J436)/60)</f>
      </c>
      <c r="M436" s="5">
        <f>IF(I436="Y",K436,0)</f>
      </c>
      <c r="N436" s="3">
        <f>IF(I436="Y",MAX(0,N(F436)),0)</f>
      </c>
      <c r="O436" s="5">
        <f>IF(M436&gt;0,N436/M436,"")</f>
      </c>
    </row>
    <row r="437" spans="1:15" x14ac:dyDescent="0.25">
      <c r="A437" s="2">
        <v>46320</v>
      </c>
      <c r="B437" s="10">
        <v>0.020833333333333332</v>
      </c>
      <c r="C437" s="10">
        <v>0.041666666666666664</v>
      </c>
      <c r="D437" s="11"/>
      <c r="E437" s="11"/>
      <c r="F437" s="11"/>
      <c r="G437" s="11"/>
      <c r="H437" s="11">
        <v>30</v>
      </c>
      <c r="I437" s="3">
        <f>IF(D437="","",IFERROR(VLOOKUP(D437,Setup!$A$2:$B$60,2,FALSE),""))</f>
      </c>
      <c r="J437" s="7">
        <f>IF(I437="","",MIN(MAX(0,IF(G437="",H437,G437)),H437))</f>
      </c>
      <c r="K437" s="5">
        <f>IF(J437="","",J437/60)</f>
      </c>
      <c r="L437" s="5">
        <f>IF(J437="","",(H437-J437)/60)</f>
      </c>
      <c r="M437" s="5">
        <f>IF(I437="Y",K437,0)</f>
      </c>
      <c r="N437" s="3">
        <f>IF(I437="Y",MAX(0,N(F437)),0)</f>
      </c>
      <c r="O437" s="5">
        <f>IF(M437&gt;0,N437/M437,"")</f>
      </c>
    </row>
    <row r="438" spans="1:15" x14ac:dyDescent="0.25">
      <c r="A438" s="2">
        <v>46320</v>
      </c>
      <c r="B438" s="10">
        <v>0.041666666666666664</v>
      </c>
      <c r="C438" s="10">
        <v>0.0625</v>
      </c>
      <c r="D438" s="11"/>
      <c r="E438" s="11"/>
      <c r="F438" s="11"/>
      <c r="G438" s="11"/>
      <c r="H438" s="11">
        <v>30</v>
      </c>
      <c r="I438" s="3">
        <f>IF(D438="","",IFERROR(VLOOKUP(D438,Setup!$A$2:$B$60,2,FALSE),""))</f>
      </c>
      <c r="J438" s="7">
        <f>IF(I438="","",MIN(MAX(0,IF(G438="",H438,G438)),H438))</f>
      </c>
      <c r="K438" s="5">
        <f>IF(J438="","",J438/60)</f>
      </c>
      <c r="L438" s="5">
        <f>IF(J438="","",(H438-J438)/60)</f>
      </c>
      <c r="M438" s="5">
        <f>IF(I438="Y",K438,0)</f>
      </c>
      <c r="N438" s="3">
        <f>IF(I438="Y",MAX(0,N(F438)),0)</f>
      </c>
      <c r="O438" s="5">
        <f>IF(M438&gt;0,N438/M438,"")</f>
      </c>
    </row>
    <row r="439" spans="1:15" x14ac:dyDescent="0.25">
      <c r="A439" s="2">
        <v>46320</v>
      </c>
      <c r="B439" s="10">
        <v>0.0625</v>
      </c>
      <c r="C439" s="10">
        <v>0.08333333333333333</v>
      </c>
      <c r="D439" s="11"/>
      <c r="E439" s="11"/>
      <c r="F439" s="11"/>
      <c r="G439" s="11"/>
      <c r="H439" s="11">
        <v>30</v>
      </c>
      <c r="I439" s="3">
        <f>IF(D439="","",IFERROR(VLOOKUP(D439,Setup!$A$2:$B$60,2,FALSE),""))</f>
      </c>
      <c r="J439" s="7">
        <f>IF(I439="","",MIN(MAX(0,IF(G439="",H439,G439)),H439))</f>
      </c>
      <c r="K439" s="5">
        <f>IF(J439="","",J439/60)</f>
      </c>
      <c r="L439" s="5">
        <f>IF(J439="","",(H439-J439)/60)</f>
      </c>
      <c r="M439" s="5">
        <f>IF(I439="Y",K439,0)</f>
      </c>
      <c r="N439" s="3">
        <f>IF(I439="Y",MAX(0,N(F439)),0)</f>
      </c>
      <c r="O439" s="5">
        <f>IF(M439&gt;0,N439/M439,"")</f>
      </c>
    </row>
    <row r="440" spans="1:15" x14ac:dyDescent="0.25">
      <c r="A440" s="2">
        <v>46320</v>
      </c>
      <c r="B440" s="10">
        <v>0.08333333333333333</v>
      </c>
      <c r="C440" s="10">
        <v>0.10416666666666667</v>
      </c>
      <c r="D440" s="11"/>
      <c r="E440" s="11"/>
      <c r="F440" s="11"/>
      <c r="G440" s="11"/>
      <c r="H440" s="11">
        <v>30</v>
      </c>
      <c r="I440" s="3">
        <f>IF(D440="","",IFERROR(VLOOKUP(D440,Setup!$A$2:$B$60,2,FALSE),""))</f>
      </c>
      <c r="J440" s="7">
        <f>IF(I440="","",MIN(MAX(0,IF(G440="",H440,G440)),H440))</f>
      </c>
      <c r="K440" s="5">
        <f>IF(J440="","",J440/60)</f>
      </c>
      <c r="L440" s="5">
        <f>IF(J440="","",(H440-J440)/60)</f>
      </c>
      <c r="M440" s="5">
        <f>IF(I440="Y",K440,0)</f>
      </c>
      <c r="N440" s="3">
        <f>IF(I440="Y",MAX(0,N(F440)),0)</f>
      </c>
      <c r="O440" s="5">
        <f>IF(M440&gt;0,N440/M440,"")</f>
      </c>
    </row>
    <row r="441" spans="1:15" x14ac:dyDescent="0.25">
      <c r="A441" s="2">
        <v>46320</v>
      </c>
      <c r="B441" s="10">
        <v>0.10416666666666667</v>
      </c>
      <c r="C441" s="10">
        <v>0.125</v>
      </c>
      <c r="D441" s="11"/>
      <c r="E441" s="11"/>
      <c r="F441" s="11"/>
      <c r="G441" s="11"/>
      <c r="H441" s="11">
        <v>30</v>
      </c>
      <c r="I441" s="3">
        <f>IF(D441="","",IFERROR(VLOOKUP(D441,Setup!$A$2:$B$60,2,FALSE),""))</f>
      </c>
      <c r="J441" s="7">
        <f>IF(I441="","",MIN(MAX(0,IF(G441="",H441,G441)),H441))</f>
      </c>
      <c r="K441" s="5">
        <f>IF(J441="","",J441/60)</f>
      </c>
      <c r="L441" s="5">
        <f>IF(J441="","",(H441-J441)/60)</f>
      </c>
      <c r="M441" s="5">
        <f>IF(I441="Y",K441,0)</f>
      </c>
      <c r="N441" s="3">
        <f>IF(I441="Y",MAX(0,N(F441)),0)</f>
      </c>
      <c r="O441" s="5">
        <f>IF(M441&gt;0,N441/M441,"")</f>
      </c>
    </row>
    <row r="442" spans="1:15" x14ac:dyDescent="0.25">
      <c r="A442" s="2">
        <v>46320</v>
      </c>
      <c r="B442" s="10">
        <v>0.125</v>
      </c>
      <c r="C442" s="10">
        <v>0.14583333333333334</v>
      </c>
      <c r="D442" s="11"/>
      <c r="E442" s="11"/>
      <c r="F442" s="11"/>
      <c r="G442" s="11"/>
      <c r="H442" s="11">
        <v>30</v>
      </c>
      <c r="I442" s="3">
        <f>IF(D442="","",IFERROR(VLOOKUP(D442,Setup!$A$2:$B$60,2,FALSE),""))</f>
      </c>
      <c r="J442" s="7">
        <f>IF(I442="","",MIN(MAX(0,IF(G442="",H442,G442)),H442))</f>
      </c>
      <c r="K442" s="5">
        <f>IF(J442="","",J442/60)</f>
      </c>
      <c r="L442" s="5">
        <f>IF(J442="","",(H442-J442)/60)</f>
      </c>
      <c r="M442" s="5">
        <f>IF(I442="Y",K442,0)</f>
      </c>
      <c r="N442" s="3">
        <f>IF(I442="Y",MAX(0,N(F442)),0)</f>
      </c>
      <c r="O442" s="5">
        <f>IF(M442&gt;0,N442/M442,"")</f>
      </c>
    </row>
    <row r="443" spans="1:15" x14ac:dyDescent="0.25">
      <c r="A443" s="2">
        <v>46320</v>
      </c>
      <c r="B443" s="10">
        <v>0.14583333333333334</v>
      </c>
      <c r="C443" s="10">
        <v>0.16666666666666666</v>
      </c>
      <c r="D443" s="11"/>
      <c r="E443" s="11"/>
      <c r="F443" s="11"/>
      <c r="G443" s="11"/>
      <c r="H443" s="11">
        <v>30</v>
      </c>
      <c r="I443" s="3">
        <f>IF(D443="","",IFERROR(VLOOKUP(D443,Setup!$A$2:$B$60,2,FALSE),""))</f>
      </c>
      <c r="J443" s="7">
        <f>IF(I443="","",MIN(MAX(0,IF(G443="",H443,G443)),H443))</f>
      </c>
      <c r="K443" s="5">
        <f>IF(J443="","",J443/60)</f>
      </c>
      <c r="L443" s="5">
        <f>IF(J443="","",(H443-J443)/60)</f>
      </c>
      <c r="M443" s="5">
        <f>IF(I443="Y",K443,0)</f>
      </c>
      <c r="N443" s="3">
        <f>IF(I443="Y",MAX(0,N(F443)),0)</f>
      </c>
      <c r="O443" s="5">
        <f>IF(M443&gt;0,N443/M443,"")</f>
      </c>
    </row>
    <row r="444" spans="1:15" x14ac:dyDescent="0.25">
      <c r="A444" s="2">
        <v>46320</v>
      </c>
      <c r="B444" s="10">
        <v>0.16666666666666666</v>
      </c>
      <c r="C444" s="10">
        <v>0.1875</v>
      </c>
      <c r="D444" s="11"/>
      <c r="E444" s="11"/>
      <c r="F444" s="11"/>
      <c r="G444" s="11"/>
      <c r="H444" s="11">
        <v>30</v>
      </c>
      <c r="I444" s="3">
        <f>IF(D444="","",IFERROR(VLOOKUP(D444,Setup!$A$2:$B$60,2,FALSE),""))</f>
      </c>
      <c r="J444" s="7">
        <f>IF(I444="","",MIN(MAX(0,IF(G444="",H444,G444)),H444))</f>
      </c>
      <c r="K444" s="5">
        <f>IF(J444="","",J444/60)</f>
      </c>
      <c r="L444" s="5">
        <f>IF(J444="","",(H444-J444)/60)</f>
      </c>
      <c r="M444" s="5">
        <f>IF(I444="Y",K444,0)</f>
      </c>
      <c r="N444" s="3">
        <f>IF(I444="Y",MAX(0,N(F444)),0)</f>
      </c>
      <c r="O444" s="5">
        <f>IF(M444&gt;0,N444/M444,"")</f>
      </c>
    </row>
    <row r="445" spans="1:15" x14ac:dyDescent="0.25">
      <c r="A445" s="2">
        <v>46320</v>
      </c>
      <c r="B445" s="10">
        <v>0.1875</v>
      </c>
      <c r="C445" s="10">
        <v>0.20833333333333334</v>
      </c>
      <c r="D445" s="11"/>
      <c r="E445" s="11"/>
      <c r="F445" s="11"/>
      <c r="G445" s="11"/>
      <c r="H445" s="11">
        <v>30</v>
      </c>
      <c r="I445" s="3">
        <f>IF(D445="","",IFERROR(VLOOKUP(D445,Setup!$A$2:$B$60,2,FALSE),""))</f>
      </c>
      <c r="J445" s="7">
        <f>IF(I445="","",MIN(MAX(0,IF(G445="",H445,G445)),H445))</f>
      </c>
      <c r="K445" s="5">
        <f>IF(J445="","",J445/60)</f>
      </c>
      <c r="L445" s="5">
        <f>IF(J445="","",(H445-J445)/60)</f>
      </c>
      <c r="M445" s="5">
        <f>IF(I445="Y",K445,0)</f>
      </c>
      <c r="N445" s="3">
        <f>IF(I445="Y",MAX(0,N(F445)),0)</f>
      </c>
      <c r="O445" s="5">
        <f>IF(M445&gt;0,N445/M445,"")</f>
      </c>
    </row>
    <row r="446" spans="1:15" x14ac:dyDescent="0.25">
      <c r="A446" s="2">
        <v>46320</v>
      </c>
      <c r="B446" s="10">
        <v>0.20833333333333334</v>
      </c>
      <c r="C446" s="10">
        <v>0.22916666666666666</v>
      </c>
      <c r="D446" s="11"/>
      <c r="E446" s="11"/>
      <c r="F446" s="11"/>
      <c r="G446" s="11"/>
      <c r="H446" s="11">
        <v>30</v>
      </c>
      <c r="I446" s="3">
        <f>IF(D446="","",IFERROR(VLOOKUP(D446,Setup!$A$2:$B$60,2,FALSE),""))</f>
      </c>
      <c r="J446" s="7">
        <f>IF(I446="","",MIN(MAX(0,IF(G446="",H446,G446)),H446))</f>
      </c>
      <c r="K446" s="5">
        <f>IF(J446="","",J446/60)</f>
      </c>
      <c r="L446" s="5">
        <f>IF(J446="","",(H446-J446)/60)</f>
      </c>
      <c r="M446" s="5">
        <f>IF(I446="Y",K446,0)</f>
      </c>
      <c r="N446" s="3">
        <f>IF(I446="Y",MAX(0,N(F446)),0)</f>
      </c>
      <c r="O446" s="5">
        <f>IF(M446&gt;0,N446/M446,"")</f>
      </c>
    </row>
    <row r="447" spans="1:15" x14ac:dyDescent="0.25">
      <c r="A447" s="2">
        <v>46320</v>
      </c>
      <c r="B447" s="10">
        <v>0.22916666666666666</v>
      </c>
      <c r="C447" s="10">
        <v>0.25</v>
      </c>
      <c r="D447" s="11"/>
      <c r="E447" s="11"/>
      <c r="F447" s="11"/>
      <c r="G447" s="11"/>
      <c r="H447" s="11">
        <v>30</v>
      </c>
      <c r="I447" s="3">
        <f>IF(D447="","",IFERROR(VLOOKUP(D447,Setup!$A$2:$B$60,2,FALSE),""))</f>
      </c>
      <c r="J447" s="7">
        <f>IF(I447="","",MIN(MAX(0,IF(G447="",H447,G447)),H447))</f>
      </c>
      <c r="K447" s="5">
        <f>IF(J447="","",J447/60)</f>
      </c>
      <c r="L447" s="5">
        <f>IF(J447="","",(H447-J447)/60)</f>
      </c>
      <c r="M447" s="5">
        <f>IF(I447="Y",K447,0)</f>
      </c>
      <c r="N447" s="3">
        <f>IF(I447="Y",MAX(0,N(F447)),0)</f>
      </c>
      <c r="O447" s="5">
        <f>IF(M447&gt;0,N447/M447,"")</f>
      </c>
    </row>
    <row r="448" spans="1:15" x14ac:dyDescent="0.25">
      <c r="A448" s="2">
        <v>46320</v>
      </c>
      <c r="B448" s="10">
        <v>0.25</v>
      </c>
      <c r="C448" s="10">
        <v>0.2708333333333333</v>
      </c>
      <c r="D448" s="11"/>
      <c r="E448" s="11"/>
      <c r="F448" s="11"/>
      <c r="G448" s="11"/>
      <c r="H448" s="11">
        <v>30</v>
      </c>
      <c r="I448" s="3">
        <f>IF(D448="","",IFERROR(VLOOKUP(D448,Setup!$A$2:$B$60,2,FALSE),""))</f>
      </c>
      <c r="J448" s="7">
        <f>IF(I448="","",MIN(MAX(0,IF(G448="",H448,G448)),H448))</f>
      </c>
      <c r="K448" s="5">
        <f>IF(J448="","",J448/60)</f>
      </c>
      <c r="L448" s="5">
        <f>IF(J448="","",(H448-J448)/60)</f>
      </c>
      <c r="M448" s="5">
        <f>IF(I448="Y",K448,0)</f>
      </c>
      <c r="N448" s="3">
        <f>IF(I448="Y",MAX(0,N(F448)),0)</f>
      </c>
      <c r="O448" s="5">
        <f>IF(M448&gt;0,N448/M448,"")</f>
      </c>
    </row>
    <row r="449" spans="1:15" x14ac:dyDescent="0.25">
      <c r="A449" s="2">
        <v>46320</v>
      </c>
      <c r="B449" s="10">
        <v>0.2708333333333333</v>
      </c>
      <c r="C449" s="10">
        <v>0.2916666666666667</v>
      </c>
      <c r="D449" s="11"/>
      <c r="E449" s="11"/>
      <c r="F449" s="11"/>
      <c r="G449" s="11"/>
      <c r="H449" s="11">
        <v>30</v>
      </c>
      <c r="I449" s="3">
        <f>IF(D449="","",IFERROR(VLOOKUP(D449,Setup!$A$2:$B$60,2,FALSE),""))</f>
      </c>
      <c r="J449" s="7">
        <f>IF(I449="","",MIN(MAX(0,IF(G449="",H449,G449)),H449))</f>
      </c>
      <c r="K449" s="5">
        <f>IF(J449="","",J449/60)</f>
      </c>
      <c r="L449" s="5">
        <f>IF(J449="","",(H449-J449)/60)</f>
      </c>
      <c r="M449" s="5">
        <f>IF(I449="Y",K449,0)</f>
      </c>
      <c r="N449" s="3">
        <f>IF(I449="Y",MAX(0,N(F449)),0)</f>
      </c>
      <c r="O449" s="5">
        <f>IF(M449&gt;0,N449/M449,"")</f>
      </c>
    </row>
    <row r="450" spans="1:15" x14ac:dyDescent="0.25">
      <c r="A450" s="2">
        <v>46320</v>
      </c>
      <c r="B450" s="10">
        <v>0.2916666666666667</v>
      </c>
      <c r="C450" s="10">
        <v>0.3125</v>
      </c>
      <c r="D450" s="11"/>
      <c r="E450" s="11"/>
      <c r="F450" s="11"/>
      <c r="G450" s="11"/>
      <c r="H450" s="11">
        <v>30</v>
      </c>
      <c r="I450" s="3">
        <f>IF(D450="","",IFERROR(VLOOKUP(D450,Setup!$A$2:$B$60,2,FALSE),""))</f>
      </c>
      <c r="J450" s="7">
        <f>IF(I450="","",MIN(MAX(0,IF(G450="",H450,G450)),H450))</f>
      </c>
      <c r="K450" s="5">
        <f>IF(J450="","",J450/60)</f>
      </c>
      <c r="L450" s="5">
        <f>IF(J450="","",(H450-J450)/60)</f>
      </c>
      <c r="M450" s="5">
        <f>IF(I450="Y",K450,0)</f>
      </c>
      <c r="N450" s="3">
        <f>IF(I450="Y",MAX(0,N(F450)),0)</f>
      </c>
      <c r="O450" s="5">
        <f>IF(M450&gt;0,N450/M450,"")</f>
      </c>
    </row>
    <row r="451" spans="1:15" x14ac:dyDescent="0.25">
      <c r="A451" s="2">
        <v>46320</v>
      </c>
      <c r="B451" s="10">
        <v>0.3125</v>
      </c>
      <c r="C451" s="10">
        <v>0.3333333333333333</v>
      </c>
      <c r="D451" s="11"/>
      <c r="E451" s="11"/>
      <c r="F451" s="11"/>
      <c r="G451" s="11"/>
      <c r="H451" s="11">
        <v>30</v>
      </c>
      <c r="I451" s="3">
        <f>IF(D451="","",IFERROR(VLOOKUP(D451,Setup!$A$2:$B$60,2,FALSE),""))</f>
      </c>
      <c r="J451" s="7">
        <f>IF(I451="","",MIN(MAX(0,IF(G451="",H451,G451)),H451))</f>
      </c>
      <c r="K451" s="5">
        <f>IF(J451="","",J451/60)</f>
      </c>
      <c r="L451" s="5">
        <f>IF(J451="","",(H451-J451)/60)</f>
      </c>
      <c r="M451" s="5">
        <f>IF(I451="Y",K451,0)</f>
      </c>
      <c r="N451" s="3">
        <f>IF(I451="Y",MAX(0,N(F451)),0)</f>
      </c>
      <c r="O451" s="5">
        <f>IF(M451&gt;0,N451/M451,"")</f>
      </c>
    </row>
    <row r="452" spans="1:15" x14ac:dyDescent="0.25">
      <c r="A452" s="2">
        <v>46321</v>
      </c>
      <c r="B452" s="10">
        <v>0.9583333333333334</v>
      </c>
      <c r="C452" s="10">
        <v>0.9791666666666666</v>
      </c>
      <c r="D452" s="11"/>
      <c r="E452" s="11"/>
      <c r="F452" s="11"/>
      <c r="G452" s="11"/>
      <c r="H452" s="11">
        <v>30</v>
      </c>
      <c r="I452" s="3">
        <f>IF(D452="","",IFERROR(VLOOKUP(D452,Setup!$A$2:$B$60,2,FALSE),""))</f>
      </c>
      <c r="J452" s="7">
        <f>IF(I452="","",MIN(MAX(0,IF(G452="",H452,G452)),H452))</f>
      </c>
      <c r="K452" s="5">
        <f>IF(J452="","",J452/60)</f>
      </c>
      <c r="L452" s="5">
        <f>IF(J452="","",(H452-J452)/60)</f>
      </c>
      <c r="M452" s="5">
        <f>IF(I452="Y",K452,0)</f>
      </c>
      <c r="N452" s="3">
        <f>IF(I452="Y",MAX(0,N(F452)),0)</f>
      </c>
      <c r="O452" s="5">
        <f>IF(M452&gt;0,N452/M452,"")</f>
      </c>
    </row>
    <row r="453" spans="1:15" x14ac:dyDescent="0.25">
      <c r="A453" s="2">
        <v>46321</v>
      </c>
      <c r="B453" s="10">
        <v>0.9791666666666666</v>
      </c>
      <c r="C453" s="10">
        <v>0</v>
      </c>
      <c r="D453" s="11"/>
      <c r="E453" s="11"/>
      <c r="F453" s="11"/>
      <c r="G453" s="11"/>
      <c r="H453" s="11">
        <v>30</v>
      </c>
      <c r="I453" s="3">
        <f>IF(D453="","",IFERROR(VLOOKUP(D453,Setup!$A$2:$B$60,2,FALSE),""))</f>
      </c>
      <c r="J453" s="7">
        <f>IF(I453="","",MIN(MAX(0,IF(G453="",H453,G453)),H453))</f>
      </c>
      <c r="K453" s="5">
        <f>IF(J453="","",J453/60)</f>
      </c>
      <c r="L453" s="5">
        <f>IF(J453="","",(H453-J453)/60)</f>
      </c>
      <c r="M453" s="5">
        <f>IF(I453="Y",K453,0)</f>
      </c>
      <c r="N453" s="3">
        <f>IF(I453="Y",MAX(0,N(F453)),0)</f>
      </c>
      <c r="O453" s="5">
        <f>IF(M453&gt;0,N453/M453,"")</f>
      </c>
    </row>
    <row r="454" spans="1:15" x14ac:dyDescent="0.25">
      <c r="A454" s="2">
        <v>46321</v>
      </c>
      <c r="B454" s="10">
        <v>0</v>
      </c>
      <c r="C454" s="10">
        <v>0.020833333333333332</v>
      </c>
      <c r="D454" s="11"/>
      <c r="E454" s="11"/>
      <c r="F454" s="11"/>
      <c r="G454" s="11"/>
      <c r="H454" s="11">
        <v>30</v>
      </c>
      <c r="I454" s="3">
        <f>IF(D454="","",IFERROR(VLOOKUP(D454,Setup!$A$2:$B$60,2,FALSE),""))</f>
      </c>
      <c r="J454" s="7">
        <f>IF(I454="","",MIN(MAX(0,IF(G454="",H454,G454)),H454))</f>
      </c>
      <c r="K454" s="5">
        <f>IF(J454="","",J454/60)</f>
      </c>
      <c r="L454" s="5">
        <f>IF(J454="","",(H454-J454)/60)</f>
      </c>
      <c r="M454" s="5">
        <f>IF(I454="Y",K454,0)</f>
      </c>
      <c r="N454" s="3">
        <f>IF(I454="Y",MAX(0,N(F454)),0)</f>
      </c>
      <c r="O454" s="5">
        <f>IF(M454&gt;0,N454/M454,"")</f>
      </c>
    </row>
    <row r="455" spans="1:15" x14ac:dyDescent="0.25">
      <c r="A455" s="2">
        <v>46321</v>
      </c>
      <c r="B455" s="10">
        <v>0.020833333333333332</v>
      </c>
      <c r="C455" s="10">
        <v>0.041666666666666664</v>
      </c>
      <c r="D455" s="11"/>
      <c r="E455" s="11"/>
      <c r="F455" s="11"/>
      <c r="G455" s="11"/>
      <c r="H455" s="11">
        <v>30</v>
      </c>
      <c r="I455" s="3">
        <f>IF(D455="","",IFERROR(VLOOKUP(D455,Setup!$A$2:$B$60,2,FALSE),""))</f>
      </c>
      <c r="J455" s="7">
        <f>IF(I455="","",MIN(MAX(0,IF(G455="",H455,G455)),H455))</f>
      </c>
      <c r="K455" s="5">
        <f>IF(J455="","",J455/60)</f>
      </c>
      <c r="L455" s="5">
        <f>IF(J455="","",(H455-J455)/60)</f>
      </c>
      <c r="M455" s="5">
        <f>IF(I455="Y",K455,0)</f>
      </c>
      <c r="N455" s="3">
        <f>IF(I455="Y",MAX(0,N(F455)),0)</f>
      </c>
      <c r="O455" s="5">
        <f>IF(M455&gt;0,N455/M455,"")</f>
      </c>
    </row>
    <row r="456" spans="1:15" x14ac:dyDescent="0.25">
      <c r="A456" s="2">
        <v>46321</v>
      </c>
      <c r="B456" s="10">
        <v>0.041666666666666664</v>
      </c>
      <c r="C456" s="10">
        <v>0.0625</v>
      </c>
      <c r="D456" s="11"/>
      <c r="E456" s="11"/>
      <c r="F456" s="11"/>
      <c r="G456" s="11"/>
      <c r="H456" s="11">
        <v>30</v>
      </c>
      <c r="I456" s="3">
        <f>IF(D456="","",IFERROR(VLOOKUP(D456,Setup!$A$2:$B$60,2,FALSE),""))</f>
      </c>
      <c r="J456" s="7">
        <f>IF(I456="","",MIN(MAX(0,IF(G456="",H456,G456)),H456))</f>
      </c>
      <c r="K456" s="5">
        <f>IF(J456="","",J456/60)</f>
      </c>
      <c r="L456" s="5">
        <f>IF(J456="","",(H456-J456)/60)</f>
      </c>
      <c r="M456" s="5">
        <f>IF(I456="Y",K456,0)</f>
      </c>
      <c r="N456" s="3">
        <f>IF(I456="Y",MAX(0,N(F456)),0)</f>
      </c>
      <c r="O456" s="5">
        <f>IF(M456&gt;0,N456/M456,"")</f>
      </c>
    </row>
    <row r="457" spans="1:15" x14ac:dyDescent="0.25">
      <c r="A457" s="2">
        <v>46321</v>
      </c>
      <c r="B457" s="10">
        <v>0.0625</v>
      </c>
      <c r="C457" s="10">
        <v>0.08333333333333333</v>
      </c>
      <c r="D457" s="11"/>
      <c r="E457" s="11"/>
      <c r="F457" s="11"/>
      <c r="G457" s="11"/>
      <c r="H457" s="11">
        <v>30</v>
      </c>
      <c r="I457" s="3">
        <f>IF(D457="","",IFERROR(VLOOKUP(D457,Setup!$A$2:$B$60,2,FALSE),""))</f>
      </c>
      <c r="J457" s="7">
        <f>IF(I457="","",MIN(MAX(0,IF(G457="",H457,G457)),H457))</f>
      </c>
      <c r="K457" s="5">
        <f>IF(J457="","",J457/60)</f>
      </c>
      <c r="L457" s="5">
        <f>IF(J457="","",(H457-J457)/60)</f>
      </c>
      <c r="M457" s="5">
        <f>IF(I457="Y",K457,0)</f>
      </c>
      <c r="N457" s="3">
        <f>IF(I457="Y",MAX(0,N(F457)),0)</f>
      </c>
      <c r="O457" s="5">
        <f>IF(M457&gt;0,N457/M457,"")</f>
      </c>
    </row>
    <row r="458" spans="1:15" x14ac:dyDescent="0.25">
      <c r="A458" s="2">
        <v>46321</v>
      </c>
      <c r="B458" s="10">
        <v>0.08333333333333333</v>
      </c>
      <c r="C458" s="10">
        <v>0.10416666666666667</v>
      </c>
      <c r="D458" s="11"/>
      <c r="E458" s="11"/>
      <c r="F458" s="11"/>
      <c r="G458" s="11"/>
      <c r="H458" s="11">
        <v>30</v>
      </c>
      <c r="I458" s="3">
        <f>IF(D458="","",IFERROR(VLOOKUP(D458,Setup!$A$2:$B$60,2,FALSE),""))</f>
      </c>
      <c r="J458" s="7">
        <f>IF(I458="","",MIN(MAX(0,IF(G458="",H458,G458)),H458))</f>
      </c>
      <c r="K458" s="5">
        <f>IF(J458="","",J458/60)</f>
      </c>
      <c r="L458" s="5">
        <f>IF(J458="","",(H458-J458)/60)</f>
      </c>
      <c r="M458" s="5">
        <f>IF(I458="Y",K458,0)</f>
      </c>
      <c r="N458" s="3">
        <f>IF(I458="Y",MAX(0,N(F458)),0)</f>
      </c>
      <c r="O458" s="5">
        <f>IF(M458&gt;0,N458/M458,"")</f>
      </c>
    </row>
    <row r="459" spans="1:15" x14ac:dyDescent="0.25">
      <c r="A459" s="2">
        <v>46321</v>
      </c>
      <c r="B459" s="10">
        <v>0.10416666666666667</v>
      </c>
      <c r="C459" s="10">
        <v>0.125</v>
      </c>
      <c r="D459" s="11"/>
      <c r="E459" s="11"/>
      <c r="F459" s="11"/>
      <c r="G459" s="11"/>
      <c r="H459" s="11">
        <v>30</v>
      </c>
      <c r="I459" s="3">
        <f>IF(D459="","",IFERROR(VLOOKUP(D459,Setup!$A$2:$B$60,2,FALSE),""))</f>
      </c>
      <c r="J459" s="7">
        <f>IF(I459="","",MIN(MAX(0,IF(G459="",H459,G459)),H459))</f>
      </c>
      <c r="K459" s="5">
        <f>IF(J459="","",J459/60)</f>
      </c>
      <c r="L459" s="5">
        <f>IF(J459="","",(H459-J459)/60)</f>
      </c>
      <c r="M459" s="5">
        <f>IF(I459="Y",K459,0)</f>
      </c>
      <c r="N459" s="3">
        <f>IF(I459="Y",MAX(0,N(F459)),0)</f>
      </c>
      <c r="O459" s="5">
        <f>IF(M459&gt;0,N459/M459,"")</f>
      </c>
    </row>
    <row r="460" spans="1:15" x14ac:dyDescent="0.25">
      <c r="A460" s="2">
        <v>46321</v>
      </c>
      <c r="B460" s="10">
        <v>0.125</v>
      </c>
      <c r="C460" s="10">
        <v>0.14583333333333334</v>
      </c>
      <c r="D460" s="11"/>
      <c r="E460" s="11"/>
      <c r="F460" s="11"/>
      <c r="G460" s="11"/>
      <c r="H460" s="11">
        <v>30</v>
      </c>
      <c r="I460" s="3">
        <f>IF(D460="","",IFERROR(VLOOKUP(D460,Setup!$A$2:$B$60,2,FALSE),""))</f>
      </c>
      <c r="J460" s="7">
        <f>IF(I460="","",MIN(MAX(0,IF(G460="",H460,G460)),H460))</f>
      </c>
      <c r="K460" s="5">
        <f>IF(J460="","",J460/60)</f>
      </c>
      <c r="L460" s="5">
        <f>IF(J460="","",(H460-J460)/60)</f>
      </c>
      <c r="M460" s="5">
        <f>IF(I460="Y",K460,0)</f>
      </c>
      <c r="N460" s="3">
        <f>IF(I460="Y",MAX(0,N(F460)),0)</f>
      </c>
      <c r="O460" s="5">
        <f>IF(M460&gt;0,N460/M460,"")</f>
      </c>
    </row>
    <row r="461" spans="1:15" x14ac:dyDescent="0.25">
      <c r="A461" s="2">
        <v>46321</v>
      </c>
      <c r="B461" s="10">
        <v>0.14583333333333334</v>
      </c>
      <c r="C461" s="10">
        <v>0.16666666666666666</v>
      </c>
      <c r="D461" s="11"/>
      <c r="E461" s="11"/>
      <c r="F461" s="11"/>
      <c r="G461" s="11"/>
      <c r="H461" s="11">
        <v>30</v>
      </c>
      <c r="I461" s="3">
        <f>IF(D461="","",IFERROR(VLOOKUP(D461,Setup!$A$2:$B$60,2,FALSE),""))</f>
      </c>
      <c r="J461" s="7">
        <f>IF(I461="","",MIN(MAX(0,IF(G461="",H461,G461)),H461))</f>
      </c>
      <c r="K461" s="5">
        <f>IF(J461="","",J461/60)</f>
      </c>
      <c r="L461" s="5">
        <f>IF(J461="","",(H461-J461)/60)</f>
      </c>
      <c r="M461" s="5">
        <f>IF(I461="Y",K461,0)</f>
      </c>
      <c r="N461" s="3">
        <f>IF(I461="Y",MAX(0,N(F461)),0)</f>
      </c>
      <c r="O461" s="5">
        <f>IF(M461&gt;0,N461/M461,"")</f>
      </c>
    </row>
    <row r="462" spans="1:15" x14ac:dyDescent="0.25">
      <c r="A462" s="2">
        <v>46321</v>
      </c>
      <c r="B462" s="10">
        <v>0.16666666666666666</v>
      </c>
      <c r="C462" s="10">
        <v>0.1875</v>
      </c>
      <c r="D462" s="11"/>
      <c r="E462" s="11"/>
      <c r="F462" s="11"/>
      <c r="G462" s="11"/>
      <c r="H462" s="11">
        <v>30</v>
      </c>
      <c r="I462" s="3">
        <f>IF(D462="","",IFERROR(VLOOKUP(D462,Setup!$A$2:$B$60,2,FALSE),""))</f>
      </c>
      <c r="J462" s="7">
        <f>IF(I462="","",MIN(MAX(0,IF(G462="",H462,G462)),H462))</f>
      </c>
      <c r="K462" s="5">
        <f>IF(J462="","",J462/60)</f>
      </c>
      <c r="L462" s="5">
        <f>IF(J462="","",(H462-J462)/60)</f>
      </c>
      <c r="M462" s="5">
        <f>IF(I462="Y",K462,0)</f>
      </c>
      <c r="N462" s="3">
        <f>IF(I462="Y",MAX(0,N(F462)),0)</f>
      </c>
      <c r="O462" s="5">
        <f>IF(M462&gt;0,N462/M462,"")</f>
      </c>
    </row>
    <row r="463" spans="1:15" x14ac:dyDescent="0.25">
      <c r="A463" s="2">
        <v>46321</v>
      </c>
      <c r="B463" s="10">
        <v>0.1875</v>
      </c>
      <c r="C463" s="10">
        <v>0.20833333333333334</v>
      </c>
      <c r="D463" s="11"/>
      <c r="E463" s="11"/>
      <c r="F463" s="11"/>
      <c r="G463" s="11"/>
      <c r="H463" s="11">
        <v>30</v>
      </c>
      <c r="I463" s="3">
        <f>IF(D463="","",IFERROR(VLOOKUP(D463,Setup!$A$2:$B$60,2,FALSE),""))</f>
      </c>
      <c r="J463" s="7">
        <f>IF(I463="","",MIN(MAX(0,IF(G463="",H463,G463)),H463))</f>
      </c>
      <c r="K463" s="5">
        <f>IF(J463="","",J463/60)</f>
      </c>
      <c r="L463" s="5">
        <f>IF(J463="","",(H463-J463)/60)</f>
      </c>
      <c r="M463" s="5">
        <f>IF(I463="Y",K463,0)</f>
      </c>
      <c r="N463" s="3">
        <f>IF(I463="Y",MAX(0,N(F463)),0)</f>
      </c>
      <c r="O463" s="5">
        <f>IF(M463&gt;0,N463/M463,"")</f>
      </c>
    </row>
    <row r="464" spans="1:15" x14ac:dyDescent="0.25">
      <c r="A464" s="2">
        <v>46321</v>
      </c>
      <c r="B464" s="10">
        <v>0.20833333333333334</v>
      </c>
      <c r="C464" s="10">
        <v>0.22916666666666666</v>
      </c>
      <c r="D464" s="11"/>
      <c r="E464" s="11"/>
      <c r="F464" s="11"/>
      <c r="G464" s="11"/>
      <c r="H464" s="11">
        <v>30</v>
      </c>
      <c r="I464" s="3">
        <f>IF(D464="","",IFERROR(VLOOKUP(D464,Setup!$A$2:$B$60,2,FALSE),""))</f>
      </c>
      <c r="J464" s="7">
        <f>IF(I464="","",MIN(MAX(0,IF(G464="",H464,G464)),H464))</f>
      </c>
      <c r="K464" s="5">
        <f>IF(J464="","",J464/60)</f>
      </c>
      <c r="L464" s="5">
        <f>IF(J464="","",(H464-J464)/60)</f>
      </c>
      <c r="M464" s="5">
        <f>IF(I464="Y",K464,0)</f>
      </c>
      <c r="N464" s="3">
        <f>IF(I464="Y",MAX(0,N(F464)),0)</f>
      </c>
      <c r="O464" s="5">
        <f>IF(M464&gt;0,N464/M464,"")</f>
      </c>
    </row>
    <row r="465" spans="1:15" x14ac:dyDescent="0.25">
      <c r="A465" s="2">
        <v>46321</v>
      </c>
      <c r="B465" s="10">
        <v>0.22916666666666666</v>
      </c>
      <c r="C465" s="10">
        <v>0.25</v>
      </c>
      <c r="D465" s="11"/>
      <c r="E465" s="11"/>
      <c r="F465" s="11"/>
      <c r="G465" s="11"/>
      <c r="H465" s="11">
        <v>30</v>
      </c>
      <c r="I465" s="3">
        <f>IF(D465="","",IFERROR(VLOOKUP(D465,Setup!$A$2:$B$60,2,FALSE),""))</f>
      </c>
      <c r="J465" s="7">
        <f>IF(I465="","",MIN(MAX(0,IF(G465="",H465,G465)),H465))</f>
      </c>
      <c r="K465" s="5">
        <f>IF(J465="","",J465/60)</f>
      </c>
      <c r="L465" s="5">
        <f>IF(J465="","",(H465-J465)/60)</f>
      </c>
      <c r="M465" s="5">
        <f>IF(I465="Y",K465,0)</f>
      </c>
      <c r="N465" s="3">
        <f>IF(I465="Y",MAX(0,N(F465)),0)</f>
      </c>
      <c r="O465" s="5">
        <f>IF(M465&gt;0,N465/M465,"")</f>
      </c>
    </row>
    <row r="466" spans="1:15" x14ac:dyDescent="0.25">
      <c r="A466" s="2">
        <v>46321</v>
      </c>
      <c r="B466" s="10">
        <v>0.25</v>
      </c>
      <c r="C466" s="10">
        <v>0.2708333333333333</v>
      </c>
      <c r="D466" s="11"/>
      <c r="E466" s="11"/>
      <c r="F466" s="11"/>
      <c r="G466" s="11"/>
      <c r="H466" s="11">
        <v>30</v>
      </c>
      <c r="I466" s="3">
        <f>IF(D466="","",IFERROR(VLOOKUP(D466,Setup!$A$2:$B$60,2,FALSE),""))</f>
      </c>
      <c r="J466" s="7">
        <f>IF(I466="","",MIN(MAX(0,IF(G466="",H466,G466)),H466))</f>
      </c>
      <c r="K466" s="5">
        <f>IF(J466="","",J466/60)</f>
      </c>
      <c r="L466" s="5">
        <f>IF(J466="","",(H466-J466)/60)</f>
      </c>
      <c r="M466" s="5">
        <f>IF(I466="Y",K466,0)</f>
      </c>
      <c r="N466" s="3">
        <f>IF(I466="Y",MAX(0,N(F466)),0)</f>
      </c>
      <c r="O466" s="5">
        <f>IF(M466&gt;0,N466/M466,"")</f>
      </c>
    </row>
    <row r="467" spans="1:15" x14ac:dyDescent="0.25">
      <c r="A467" s="2">
        <v>46321</v>
      </c>
      <c r="B467" s="10">
        <v>0.2708333333333333</v>
      </c>
      <c r="C467" s="10">
        <v>0.2916666666666667</v>
      </c>
      <c r="D467" s="11"/>
      <c r="E467" s="11"/>
      <c r="F467" s="11"/>
      <c r="G467" s="11"/>
      <c r="H467" s="11">
        <v>30</v>
      </c>
      <c r="I467" s="3">
        <f>IF(D467="","",IFERROR(VLOOKUP(D467,Setup!$A$2:$B$60,2,FALSE),""))</f>
      </c>
      <c r="J467" s="7">
        <f>IF(I467="","",MIN(MAX(0,IF(G467="",H467,G467)),H467))</f>
      </c>
      <c r="K467" s="5">
        <f>IF(J467="","",J467/60)</f>
      </c>
      <c r="L467" s="5">
        <f>IF(J467="","",(H467-J467)/60)</f>
      </c>
      <c r="M467" s="5">
        <f>IF(I467="Y",K467,0)</f>
      </c>
      <c r="N467" s="3">
        <f>IF(I467="Y",MAX(0,N(F467)),0)</f>
      </c>
      <c r="O467" s="5">
        <f>IF(M467&gt;0,N467/M467,"")</f>
      </c>
    </row>
    <row r="468" spans="1:15" x14ac:dyDescent="0.25">
      <c r="A468" s="2">
        <v>46321</v>
      </c>
      <c r="B468" s="10">
        <v>0.2916666666666667</v>
      </c>
      <c r="C468" s="10">
        <v>0.3125</v>
      </c>
      <c r="D468" s="11"/>
      <c r="E468" s="11"/>
      <c r="F468" s="11"/>
      <c r="G468" s="11"/>
      <c r="H468" s="11">
        <v>30</v>
      </c>
      <c r="I468" s="3">
        <f>IF(D468="","",IFERROR(VLOOKUP(D468,Setup!$A$2:$B$60,2,FALSE),""))</f>
      </c>
      <c r="J468" s="7">
        <f>IF(I468="","",MIN(MAX(0,IF(G468="",H468,G468)),H468))</f>
      </c>
      <c r="K468" s="5">
        <f>IF(J468="","",J468/60)</f>
      </c>
      <c r="L468" s="5">
        <f>IF(J468="","",(H468-J468)/60)</f>
      </c>
      <c r="M468" s="5">
        <f>IF(I468="Y",K468,0)</f>
      </c>
      <c r="N468" s="3">
        <f>IF(I468="Y",MAX(0,N(F468)),0)</f>
      </c>
      <c r="O468" s="5">
        <f>IF(M468&gt;0,N468/M468,"")</f>
      </c>
    </row>
    <row r="469" spans="1:15" x14ac:dyDescent="0.25">
      <c r="A469" s="2">
        <v>46321</v>
      </c>
      <c r="B469" s="10">
        <v>0.3125</v>
      </c>
      <c r="C469" s="10">
        <v>0.3333333333333333</v>
      </c>
      <c r="D469" s="11"/>
      <c r="E469" s="11"/>
      <c r="F469" s="11"/>
      <c r="G469" s="11"/>
      <c r="H469" s="11">
        <v>30</v>
      </c>
      <c r="I469" s="3">
        <f>IF(D469="","",IFERROR(VLOOKUP(D469,Setup!$A$2:$B$60,2,FALSE),""))</f>
      </c>
      <c r="J469" s="7">
        <f>IF(I469="","",MIN(MAX(0,IF(G469="",H469,G469)),H469))</f>
      </c>
      <c r="K469" s="5">
        <f>IF(J469="","",J469/60)</f>
      </c>
      <c r="L469" s="5">
        <f>IF(J469="","",(H469-J469)/60)</f>
      </c>
      <c r="M469" s="5">
        <f>IF(I469="Y",K469,0)</f>
      </c>
      <c r="N469" s="3">
        <f>IF(I469="Y",MAX(0,N(F469)),0)</f>
      </c>
      <c r="O469" s="5">
        <f>IF(M469&gt;0,N469/M469,"")</f>
      </c>
    </row>
    <row r="470" spans="1:15" x14ac:dyDescent="0.25">
      <c r="A470" s="2">
        <v>46322</v>
      </c>
      <c r="B470" s="10">
        <v>0.9583333333333334</v>
      </c>
      <c r="C470" s="10">
        <v>0.9791666666666666</v>
      </c>
      <c r="D470" s="11"/>
      <c r="E470" s="11"/>
      <c r="F470" s="11"/>
      <c r="G470" s="11"/>
      <c r="H470" s="11">
        <v>30</v>
      </c>
      <c r="I470" s="3">
        <f>IF(D470="","",IFERROR(VLOOKUP(D470,Setup!$A$2:$B$60,2,FALSE),""))</f>
      </c>
      <c r="J470" s="7">
        <f>IF(I470="","",MIN(MAX(0,IF(G470="",H470,G470)),H470))</f>
      </c>
      <c r="K470" s="5">
        <f>IF(J470="","",J470/60)</f>
      </c>
      <c r="L470" s="5">
        <f>IF(J470="","",(H470-J470)/60)</f>
      </c>
      <c r="M470" s="5">
        <f>IF(I470="Y",K470,0)</f>
      </c>
      <c r="N470" s="3">
        <f>IF(I470="Y",MAX(0,N(F470)),0)</f>
      </c>
      <c r="O470" s="5">
        <f>IF(M470&gt;0,N470/M470,"")</f>
      </c>
    </row>
    <row r="471" spans="1:15" x14ac:dyDescent="0.25">
      <c r="A471" s="2">
        <v>46322</v>
      </c>
      <c r="B471" s="10">
        <v>0.9791666666666666</v>
      </c>
      <c r="C471" s="10">
        <v>0</v>
      </c>
      <c r="D471" s="11"/>
      <c r="E471" s="11"/>
      <c r="F471" s="11"/>
      <c r="G471" s="11"/>
      <c r="H471" s="11">
        <v>30</v>
      </c>
      <c r="I471" s="3">
        <f>IF(D471="","",IFERROR(VLOOKUP(D471,Setup!$A$2:$B$60,2,FALSE),""))</f>
      </c>
      <c r="J471" s="7">
        <f>IF(I471="","",MIN(MAX(0,IF(G471="",H471,G471)),H471))</f>
      </c>
      <c r="K471" s="5">
        <f>IF(J471="","",J471/60)</f>
      </c>
      <c r="L471" s="5">
        <f>IF(J471="","",(H471-J471)/60)</f>
      </c>
      <c r="M471" s="5">
        <f>IF(I471="Y",K471,0)</f>
      </c>
      <c r="N471" s="3">
        <f>IF(I471="Y",MAX(0,N(F471)),0)</f>
      </c>
      <c r="O471" s="5">
        <f>IF(M471&gt;0,N471/M471,"")</f>
      </c>
    </row>
    <row r="472" spans="1:15" x14ac:dyDescent="0.25">
      <c r="A472" s="2">
        <v>46322</v>
      </c>
      <c r="B472" s="10">
        <v>0</v>
      </c>
      <c r="C472" s="10">
        <v>0.020833333333333332</v>
      </c>
      <c r="D472" s="11"/>
      <c r="E472" s="11"/>
      <c r="F472" s="11"/>
      <c r="G472" s="11"/>
      <c r="H472" s="11">
        <v>30</v>
      </c>
      <c r="I472" s="3">
        <f>IF(D472="","",IFERROR(VLOOKUP(D472,Setup!$A$2:$B$60,2,FALSE),""))</f>
      </c>
      <c r="J472" s="7">
        <f>IF(I472="","",MIN(MAX(0,IF(G472="",H472,G472)),H472))</f>
      </c>
      <c r="K472" s="5">
        <f>IF(J472="","",J472/60)</f>
      </c>
      <c r="L472" s="5">
        <f>IF(J472="","",(H472-J472)/60)</f>
      </c>
      <c r="M472" s="5">
        <f>IF(I472="Y",K472,0)</f>
      </c>
      <c r="N472" s="3">
        <f>IF(I472="Y",MAX(0,N(F472)),0)</f>
      </c>
      <c r="O472" s="5">
        <f>IF(M472&gt;0,N472/M472,"")</f>
      </c>
    </row>
    <row r="473" spans="1:15" x14ac:dyDescent="0.25">
      <c r="A473" s="2">
        <v>46322</v>
      </c>
      <c r="B473" s="10">
        <v>0.020833333333333332</v>
      </c>
      <c r="C473" s="10">
        <v>0.041666666666666664</v>
      </c>
      <c r="D473" s="11"/>
      <c r="E473" s="11"/>
      <c r="F473" s="11"/>
      <c r="G473" s="11"/>
      <c r="H473" s="11">
        <v>30</v>
      </c>
      <c r="I473" s="3">
        <f>IF(D473="","",IFERROR(VLOOKUP(D473,Setup!$A$2:$B$60,2,FALSE),""))</f>
      </c>
      <c r="J473" s="7">
        <f>IF(I473="","",MIN(MAX(0,IF(G473="",H473,G473)),H473))</f>
      </c>
      <c r="K473" s="5">
        <f>IF(J473="","",J473/60)</f>
      </c>
      <c r="L473" s="5">
        <f>IF(J473="","",(H473-J473)/60)</f>
      </c>
      <c r="M473" s="5">
        <f>IF(I473="Y",K473,0)</f>
      </c>
      <c r="N473" s="3">
        <f>IF(I473="Y",MAX(0,N(F473)),0)</f>
      </c>
      <c r="O473" s="5">
        <f>IF(M473&gt;0,N473/M473,"")</f>
      </c>
    </row>
    <row r="474" spans="1:15" x14ac:dyDescent="0.25">
      <c r="A474" s="2">
        <v>46322</v>
      </c>
      <c r="B474" s="10">
        <v>0.041666666666666664</v>
      </c>
      <c r="C474" s="10">
        <v>0.0625</v>
      </c>
      <c r="D474" s="11"/>
      <c r="E474" s="11"/>
      <c r="F474" s="11"/>
      <c r="G474" s="11"/>
      <c r="H474" s="11">
        <v>30</v>
      </c>
      <c r="I474" s="3">
        <f>IF(D474="","",IFERROR(VLOOKUP(D474,Setup!$A$2:$B$60,2,FALSE),""))</f>
      </c>
      <c r="J474" s="7">
        <f>IF(I474="","",MIN(MAX(0,IF(G474="",H474,G474)),H474))</f>
      </c>
      <c r="K474" s="5">
        <f>IF(J474="","",J474/60)</f>
      </c>
      <c r="L474" s="5">
        <f>IF(J474="","",(H474-J474)/60)</f>
      </c>
      <c r="M474" s="5">
        <f>IF(I474="Y",K474,0)</f>
      </c>
      <c r="N474" s="3">
        <f>IF(I474="Y",MAX(0,N(F474)),0)</f>
      </c>
      <c r="O474" s="5">
        <f>IF(M474&gt;0,N474/M474,"")</f>
      </c>
    </row>
    <row r="475" spans="1:15" x14ac:dyDescent="0.25">
      <c r="A475" s="2">
        <v>46322</v>
      </c>
      <c r="B475" s="10">
        <v>0.0625</v>
      </c>
      <c r="C475" s="10">
        <v>0.08333333333333333</v>
      </c>
      <c r="D475" s="11"/>
      <c r="E475" s="11"/>
      <c r="F475" s="11"/>
      <c r="G475" s="11"/>
      <c r="H475" s="11">
        <v>30</v>
      </c>
      <c r="I475" s="3">
        <f>IF(D475="","",IFERROR(VLOOKUP(D475,Setup!$A$2:$B$60,2,FALSE),""))</f>
      </c>
      <c r="J475" s="7">
        <f>IF(I475="","",MIN(MAX(0,IF(G475="",H475,G475)),H475))</f>
      </c>
      <c r="K475" s="5">
        <f>IF(J475="","",J475/60)</f>
      </c>
      <c r="L475" s="5">
        <f>IF(J475="","",(H475-J475)/60)</f>
      </c>
      <c r="M475" s="5">
        <f>IF(I475="Y",K475,0)</f>
      </c>
      <c r="N475" s="3">
        <f>IF(I475="Y",MAX(0,N(F475)),0)</f>
      </c>
      <c r="O475" s="5">
        <f>IF(M475&gt;0,N475/M475,"")</f>
      </c>
    </row>
    <row r="476" spans="1:15" x14ac:dyDescent="0.25">
      <c r="A476" s="2">
        <v>46322</v>
      </c>
      <c r="B476" s="10">
        <v>0.08333333333333333</v>
      </c>
      <c r="C476" s="10">
        <v>0.10416666666666667</v>
      </c>
      <c r="D476" s="11"/>
      <c r="E476" s="11"/>
      <c r="F476" s="11"/>
      <c r="G476" s="11"/>
      <c r="H476" s="11">
        <v>30</v>
      </c>
      <c r="I476" s="3">
        <f>IF(D476="","",IFERROR(VLOOKUP(D476,Setup!$A$2:$B$60,2,FALSE),""))</f>
      </c>
      <c r="J476" s="7">
        <f>IF(I476="","",MIN(MAX(0,IF(G476="",H476,G476)),H476))</f>
      </c>
      <c r="K476" s="5">
        <f>IF(J476="","",J476/60)</f>
      </c>
      <c r="L476" s="5">
        <f>IF(J476="","",(H476-J476)/60)</f>
      </c>
      <c r="M476" s="5">
        <f>IF(I476="Y",K476,0)</f>
      </c>
      <c r="N476" s="3">
        <f>IF(I476="Y",MAX(0,N(F476)),0)</f>
      </c>
      <c r="O476" s="5">
        <f>IF(M476&gt;0,N476/M476,"")</f>
      </c>
    </row>
    <row r="477" spans="1:15" x14ac:dyDescent="0.25">
      <c r="A477" s="2">
        <v>46322</v>
      </c>
      <c r="B477" s="10">
        <v>0.10416666666666667</v>
      </c>
      <c r="C477" s="10">
        <v>0.125</v>
      </c>
      <c r="D477" s="11"/>
      <c r="E477" s="11"/>
      <c r="F477" s="11"/>
      <c r="G477" s="11"/>
      <c r="H477" s="11">
        <v>30</v>
      </c>
      <c r="I477" s="3">
        <f>IF(D477="","",IFERROR(VLOOKUP(D477,Setup!$A$2:$B$60,2,FALSE),""))</f>
      </c>
      <c r="J477" s="7">
        <f>IF(I477="","",MIN(MAX(0,IF(G477="",H477,G477)),H477))</f>
      </c>
      <c r="K477" s="5">
        <f>IF(J477="","",J477/60)</f>
      </c>
      <c r="L477" s="5">
        <f>IF(J477="","",(H477-J477)/60)</f>
      </c>
      <c r="M477" s="5">
        <f>IF(I477="Y",K477,0)</f>
      </c>
      <c r="N477" s="3">
        <f>IF(I477="Y",MAX(0,N(F477)),0)</f>
      </c>
      <c r="O477" s="5">
        <f>IF(M477&gt;0,N477/M477,"")</f>
      </c>
    </row>
    <row r="478" spans="1:15" x14ac:dyDescent="0.25">
      <c r="A478" s="2">
        <v>46322</v>
      </c>
      <c r="B478" s="10">
        <v>0.125</v>
      </c>
      <c r="C478" s="10">
        <v>0.14583333333333334</v>
      </c>
      <c r="D478" s="11"/>
      <c r="E478" s="11"/>
      <c r="F478" s="11"/>
      <c r="G478" s="11"/>
      <c r="H478" s="11">
        <v>30</v>
      </c>
      <c r="I478" s="3">
        <f>IF(D478="","",IFERROR(VLOOKUP(D478,Setup!$A$2:$B$60,2,FALSE),""))</f>
      </c>
      <c r="J478" s="7">
        <f>IF(I478="","",MIN(MAX(0,IF(G478="",H478,G478)),H478))</f>
      </c>
      <c r="K478" s="5">
        <f>IF(J478="","",J478/60)</f>
      </c>
      <c r="L478" s="5">
        <f>IF(J478="","",(H478-J478)/60)</f>
      </c>
      <c r="M478" s="5">
        <f>IF(I478="Y",K478,0)</f>
      </c>
      <c r="N478" s="3">
        <f>IF(I478="Y",MAX(0,N(F478)),0)</f>
      </c>
      <c r="O478" s="5">
        <f>IF(M478&gt;0,N478/M478,"")</f>
      </c>
    </row>
    <row r="479" spans="1:15" x14ac:dyDescent="0.25">
      <c r="A479" s="2">
        <v>46322</v>
      </c>
      <c r="B479" s="10">
        <v>0.14583333333333334</v>
      </c>
      <c r="C479" s="10">
        <v>0.16666666666666666</v>
      </c>
      <c r="D479" s="11"/>
      <c r="E479" s="11"/>
      <c r="F479" s="11"/>
      <c r="G479" s="11"/>
      <c r="H479" s="11">
        <v>30</v>
      </c>
      <c r="I479" s="3">
        <f>IF(D479="","",IFERROR(VLOOKUP(D479,Setup!$A$2:$B$60,2,FALSE),""))</f>
      </c>
      <c r="J479" s="7">
        <f>IF(I479="","",MIN(MAX(0,IF(G479="",H479,G479)),H479))</f>
      </c>
      <c r="K479" s="5">
        <f>IF(J479="","",J479/60)</f>
      </c>
      <c r="L479" s="5">
        <f>IF(J479="","",(H479-J479)/60)</f>
      </c>
      <c r="M479" s="5">
        <f>IF(I479="Y",K479,0)</f>
      </c>
      <c r="N479" s="3">
        <f>IF(I479="Y",MAX(0,N(F479)),0)</f>
      </c>
      <c r="O479" s="5">
        <f>IF(M479&gt;0,N479/M479,"")</f>
      </c>
    </row>
    <row r="480" spans="1:15" x14ac:dyDescent="0.25">
      <c r="A480" s="2">
        <v>46322</v>
      </c>
      <c r="B480" s="10">
        <v>0.16666666666666666</v>
      </c>
      <c r="C480" s="10">
        <v>0.1875</v>
      </c>
      <c r="D480" s="11"/>
      <c r="E480" s="11"/>
      <c r="F480" s="11"/>
      <c r="G480" s="11"/>
      <c r="H480" s="11">
        <v>30</v>
      </c>
      <c r="I480" s="3">
        <f>IF(D480="","",IFERROR(VLOOKUP(D480,Setup!$A$2:$B$60,2,FALSE),""))</f>
      </c>
      <c r="J480" s="7">
        <f>IF(I480="","",MIN(MAX(0,IF(G480="",H480,G480)),H480))</f>
      </c>
      <c r="K480" s="5">
        <f>IF(J480="","",J480/60)</f>
      </c>
      <c r="L480" s="5">
        <f>IF(J480="","",(H480-J480)/60)</f>
      </c>
      <c r="M480" s="5">
        <f>IF(I480="Y",K480,0)</f>
      </c>
      <c r="N480" s="3">
        <f>IF(I480="Y",MAX(0,N(F480)),0)</f>
      </c>
      <c r="O480" s="5">
        <f>IF(M480&gt;0,N480/M480,"")</f>
      </c>
    </row>
    <row r="481" spans="1:15" x14ac:dyDescent="0.25">
      <c r="A481" s="2">
        <v>46322</v>
      </c>
      <c r="B481" s="10">
        <v>0.1875</v>
      </c>
      <c r="C481" s="10">
        <v>0.20833333333333334</v>
      </c>
      <c r="D481" s="11"/>
      <c r="E481" s="11"/>
      <c r="F481" s="11"/>
      <c r="G481" s="11"/>
      <c r="H481" s="11">
        <v>30</v>
      </c>
      <c r="I481" s="3">
        <f>IF(D481="","",IFERROR(VLOOKUP(D481,Setup!$A$2:$B$60,2,FALSE),""))</f>
      </c>
      <c r="J481" s="7">
        <f>IF(I481="","",MIN(MAX(0,IF(G481="",H481,G481)),H481))</f>
      </c>
      <c r="K481" s="5">
        <f>IF(J481="","",J481/60)</f>
      </c>
      <c r="L481" s="5">
        <f>IF(J481="","",(H481-J481)/60)</f>
      </c>
      <c r="M481" s="5">
        <f>IF(I481="Y",K481,0)</f>
      </c>
      <c r="N481" s="3">
        <f>IF(I481="Y",MAX(0,N(F481)),0)</f>
      </c>
      <c r="O481" s="5">
        <f>IF(M481&gt;0,N481/M481,"")</f>
      </c>
    </row>
    <row r="482" spans="1:15" x14ac:dyDescent="0.25">
      <c r="A482" s="2">
        <v>46322</v>
      </c>
      <c r="B482" s="10">
        <v>0.20833333333333334</v>
      </c>
      <c r="C482" s="10">
        <v>0.22916666666666666</v>
      </c>
      <c r="D482" s="11"/>
      <c r="E482" s="11"/>
      <c r="F482" s="11"/>
      <c r="G482" s="11"/>
      <c r="H482" s="11">
        <v>30</v>
      </c>
      <c r="I482" s="3">
        <f>IF(D482="","",IFERROR(VLOOKUP(D482,Setup!$A$2:$B$60,2,FALSE),""))</f>
      </c>
      <c r="J482" s="7">
        <f>IF(I482="","",MIN(MAX(0,IF(G482="",H482,G482)),H482))</f>
      </c>
      <c r="K482" s="5">
        <f>IF(J482="","",J482/60)</f>
      </c>
      <c r="L482" s="5">
        <f>IF(J482="","",(H482-J482)/60)</f>
      </c>
      <c r="M482" s="5">
        <f>IF(I482="Y",K482,0)</f>
      </c>
      <c r="N482" s="3">
        <f>IF(I482="Y",MAX(0,N(F482)),0)</f>
      </c>
      <c r="O482" s="5">
        <f>IF(M482&gt;0,N482/M482,"")</f>
      </c>
    </row>
    <row r="483" spans="1:15" x14ac:dyDescent="0.25">
      <c r="A483" s="2">
        <v>46322</v>
      </c>
      <c r="B483" s="10">
        <v>0.22916666666666666</v>
      </c>
      <c r="C483" s="10">
        <v>0.25</v>
      </c>
      <c r="D483" s="11"/>
      <c r="E483" s="11"/>
      <c r="F483" s="11"/>
      <c r="G483" s="11"/>
      <c r="H483" s="11">
        <v>30</v>
      </c>
      <c r="I483" s="3">
        <f>IF(D483="","",IFERROR(VLOOKUP(D483,Setup!$A$2:$B$60,2,FALSE),""))</f>
      </c>
      <c r="J483" s="7">
        <f>IF(I483="","",MIN(MAX(0,IF(G483="",H483,G483)),H483))</f>
      </c>
      <c r="K483" s="5">
        <f>IF(J483="","",J483/60)</f>
      </c>
      <c r="L483" s="5">
        <f>IF(J483="","",(H483-J483)/60)</f>
      </c>
      <c r="M483" s="5">
        <f>IF(I483="Y",K483,0)</f>
      </c>
      <c r="N483" s="3">
        <f>IF(I483="Y",MAX(0,N(F483)),0)</f>
      </c>
      <c r="O483" s="5">
        <f>IF(M483&gt;0,N483/M483,"")</f>
      </c>
    </row>
    <row r="484" spans="1:15" x14ac:dyDescent="0.25">
      <c r="A484" s="2">
        <v>46322</v>
      </c>
      <c r="B484" s="10">
        <v>0.25</v>
      </c>
      <c r="C484" s="10">
        <v>0.2708333333333333</v>
      </c>
      <c r="D484" s="11"/>
      <c r="E484" s="11"/>
      <c r="F484" s="11"/>
      <c r="G484" s="11"/>
      <c r="H484" s="11">
        <v>30</v>
      </c>
      <c r="I484" s="3">
        <f>IF(D484="","",IFERROR(VLOOKUP(D484,Setup!$A$2:$B$60,2,FALSE),""))</f>
      </c>
      <c r="J484" s="7">
        <f>IF(I484="","",MIN(MAX(0,IF(G484="",H484,G484)),H484))</f>
      </c>
      <c r="K484" s="5">
        <f>IF(J484="","",J484/60)</f>
      </c>
      <c r="L484" s="5">
        <f>IF(J484="","",(H484-J484)/60)</f>
      </c>
      <c r="M484" s="5">
        <f>IF(I484="Y",K484,0)</f>
      </c>
      <c r="N484" s="3">
        <f>IF(I484="Y",MAX(0,N(F484)),0)</f>
      </c>
      <c r="O484" s="5">
        <f>IF(M484&gt;0,N484/M484,"")</f>
      </c>
    </row>
    <row r="485" spans="1:15" x14ac:dyDescent="0.25">
      <c r="A485" s="2">
        <v>46322</v>
      </c>
      <c r="B485" s="10">
        <v>0.2708333333333333</v>
      </c>
      <c r="C485" s="10">
        <v>0.2916666666666667</v>
      </c>
      <c r="D485" s="11"/>
      <c r="E485" s="11"/>
      <c r="F485" s="11"/>
      <c r="G485" s="11"/>
      <c r="H485" s="11">
        <v>30</v>
      </c>
      <c r="I485" s="3">
        <f>IF(D485="","",IFERROR(VLOOKUP(D485,Setup!$A$2:$B$60,2,FALSE),""))</f>
      </c>
      <c r="J485" s="7">
        <f>IF(I485="","",MIN(MAX(0,IF(G485="",H485,G485)),H485))</f>
      </c>
      <c r="K485" s="5">
        <f>IF(J485="","",J485/60)</f>
      </c>
      <c r="L485" s="5">
        <f>IF(J485="","",(H485-J485)/60)</f>
      </c>
      <c r="M485" s="5">
        <f>IF(I485="Y",K485,0)</f>
      </c>
      <c r="N485" s="3">
        <f>IF(I485="Y",MAX(0,N(F485)),0)</f>
      </c>
      <c r="O485" s="5">
        <f>IF(M485&gt;0,N485/M485,"")</f>
      </c>
    </row>
    <row r="486" spans="1:15" x14ac:dyDescent="0.25">
      <c r="A486" s="2">
        <v>46322</v>
      </c>
      <c r="B486" s="10">
        <v>0.2916666666666667</v>
      </c>
      <c r="C486" s="10">
        <v>0.3125</v>
      </c>
      <c r="D486" s="11"/>
      <c r="E486" s="11"/>
      <c r="F486" s="11"/>
      <c r="G486" s="11"/>
      <c r="H486" s="11">
        <v>30</v>
      </c>
      <c r="I486" s="3">
        <f>IF(D486="","",IFERROR(VLOOKUP(D486,Setup!$A$2:$B$60,2,FALSE),""))</f>
      </c>
      <c r="J486" s="7">
        <f>IF(I486="","",MIN(MAX(0,IF(G486="",H486,G486)),H486))</f>
      </c>
      <c r="K486" s="5">
        <f>IF(J486="","",J486/60)</f>
      </c>
      <c r="L486" s="5">
        <f>IF(J486="","",(H486-J486)/60)</f>
      </c>
      <c r="M486" s="5">
        <f>IF(I486="Y",K486,0)</f>
      </c>
      <c r="N486" s="3">
        <f>IF(I486="Y",MAX(0,N(F486)),0)</f>
      </c>
      <c r="O486" s="5">
        <f>IF(M486&gt;0,N486/M486,"")</f>
      </c>
    </row>
    <row r="487" spans="1:15" x14ac:dyDescent="0.25">
      <c r="A487" s="2">
        <v>46322</v>
      </c>
      <c r="B487" s="10">
        <v>0.3125</v>
      </c>
      <c r="C487" s="10">
        <v>0.3333333333333333</v>
      </c>
      <c r="D487" s="11"/>
      <c r="E487" s="11"/>
      <c r="F487" s="11"/>
      <c r="G487" s="11"/>
      <c r="H487" s="11">
        <v>30</v>
      </c>
      <c r="I487" s="3">
        <f>IF(D487="","",IFERROR(VLOOKUP(D487,Setup!$A$2:$B$60,2,FALSE),""))</f>
      </c>
      <c r="J487" s="7">
        <f>IF(I487="","",MIN(MAX(0,IF(G487="",H487,G487)),H487))</f>
      </c>
      <c r="K487" s="5">
        <f>IF(J487="","",J487/60)</f>
      </c>
      <c r="L487" s="5">
        <f>IF(J487="","",(H487-J487)/60)</f>
      </c>
      <c r="M487" s="5">
        <f>IF(I487="Y",K487,0)</f>
      </c>
      <c r="N487" s="3">
        <f>IF(I487="Y",MAX(0,N(F487)),0)</f>
      </c>
      <c r="O487" s="5">
        <f>IF(M487&gt;0,N487/M487,"")</f>
      </c>
    </row>
    <row r="488" spans="1:15" x14ac:dyDescent="0.25">
      <c r="A488" s="2">
        <v>46323</v>
      </c>
      <c r="B488" s="10">
        <v>0.9583333333333334</v>
      </c>
      <c r="C488" s="10">
        <v>0.9791666666666666</v>
      </c>
      <c r="D488" s="11" t="s">
        <v>36</v>
      </c>
      <c r="E488" s="11" t="s">
        <v>36</v>
      </c>
      <c r="F488" s="11">
        <v>200</v>
      </c>
      <c r="G488" s="11">
        <v>30</v>
      </c>
      <c r="H488" s="11">
        <v>30</v>
      </c>
      <c r="I488" s="3">
        <f>IF(D488="","",IFERROR(VLOOKUP(D488,Setup!$A$2:$B$60,2,FALSE),""))</f>
      </c>
      <c r="J488" s="7">
        <f>IF(I488="","",MIN(MAX(0,IF(G488="",H488,G488)),H488))</f>
      </c>
      <c r="K488" s="5">
        <f>IF(J488="","",J488/60)</f>
      </c>
      <c r="L488" s="5">
        <f>IF(J488="","",(H488-J488)/60)</f>
      </c>
      <c r="M488" s="5">
        <f>IF(I488="Y",K488,0)</f>
      </c>
      <c r="N488" s="3">
        <f>IF(I488="Y",MAX(0,N(F488)),0)</f>
      </c>
      <c r="O488" s="5">
        <f>IF(M488&gt;0,N488/M488,"")</f>
      </c>
    </row>
    <row r="489" spans="1:15" x14ac:dyDescent="0.25">
      <c r="A489" s="2">
        <v>46323</v>
      </c>
      <c r="B489" s="10">
        <v>0.9791666666666666</v>
      </c>
      <c r="C489" s="10">
        <v>0</v>
      </c>
      <c r="D489" s="11"/>
      <c r="E489" s="11"/>
      <c r="F489" s="11"/>
      <c r="G489" s="11"/>
      <c r="H489" s="11">
        <v>30</v>
      </c>
      <c r="I489" s="3">
        <f>IF(D489="","",IFERROR(VLOOKUP(D489,Setup!$A$2:$B$60,2,FALSE),""))</f>
      </c>
      <c r="J489" s="7">
        <f>IF(I489="","",MIN(MAX(0,IF(G489="",H489,G489)),H489))</f>
      </c>
      <c r="K489" s="5">
        <f>IF(J489="","",J489/60)</f>
      </c>
      <c r="L489" s="5">
        <f>IF(J489="","",(H489-J489)/60)</f>
      </c>
      <c r="M489" s="5">
        <f>IF(I489="Y",K489,0)</f>
      </c>
      <c r="N489" s="3">
        <f>IF(I489="Y",MAX(0,N(F489)),0)</f>
      </c>
      <c r="O489" s="5">
        <f>IF(M489&gt;0,N489/M489,"")</f>
      </c>
    </row>
    <row r="490" spans="1:15" x14ac:dyDescent="0.25">
      <c r="A490" s="2">
        <v>46323</v>
      </c>
      <c r="B490" s="10">
        <v>0</v>
      </c>
      <c r="C490" s="10">
        <v>0.020833333333333332</v>
      </c>
      <c r="D490" s="11"/>
      <c r="E490" s="11"/>
      <c r="F490" s="11"/>
      <c r="G490" s="11"/>
      <c r="H490" s="11">
        <v>30</v>
      </c>
      <c r="I490" s="3">
        <f>IF(D490="","",IFERROR(VLOOKUP(D490,Setup!$A$2:$B$60,2,FALSE),""))</f>
      </c>
      <c r="J490" s="7">
        <f>IF(I490="","",MIN(MAX(0,IF(G490="",H490,G490)),H490))</f>
      </c>
      <c r="K490" s="5">
        <f>IF(J490="","",J490/60)</f>
      </c>
      <c r="L490" s="5">
        <f>IF(J490="","",(H490-J490)/60)</f>
      </c>
      <c r="M490" s="5">
        <f>IF(I490="Y",K490,0)</f>
      </c>
      <c r="N490" s="3">
        <f>IF(I490="Y",MAX(0,N(F490)),0)</f>
      </c>
      <c r="O490" s="5">
        <f>IF(M490&gt;0,N490/M490,"")</f>
      </c>
    </row>
    <row r="491" spans="1:15" x14ac:dyDescent="0.25">
      <c r="A491" s="2">
        <v>46323</v>
      </c>
      <c r="B491" s="10">
        <v>0.020833333333333332</v>
      </c>
      <c r="C491" s="10">
        <v>0.041666666666666664</v>
      </c>
      <c r="D491" s="11"/>
      <c r="E491" s="11"/>
      <c r="F491" s="11"/>
      <c r="G491" s="11"/>
      <c r="H491" s="11">
        <v>30</v>
      </c>
      <c r="I491" s="3">
        <f>IF(D491="","",IFERROR(VLOOKUP(D491,Setup!$A$2:$B$60,2,FALSE),""))</f>
      </c>
      <c r="J491" s="7">
        <f>IF(I491="","",MIN(MAX(0,IF(G491="",H491,G491)),H491))</f>
      </c>
      <c r="K491" s="5">
        <f>IF(J491="","",J491/60)</f>
      </c>
      <c r="L491" s="5">
        <f>IF(J491="","",(H491-J491)/60)</f>
      </c>
      <c r="M491" s="5">
        <f>IF(I491="Y",K491,0)</f>
      </c>
      <c r="N491" s="3">
        <f>IF(I491="Y",MAX(0,N(F491)),0)</f>
      </c>
      <c r="O491" s="5">
        <f>IF(M491&gt;0,N491/M491,"")</f>
      </c>
    </row>
    <row r="492" spans="1:15" x14ac:dyDescent="0.25">
      <c r="A492" s="2">
        <v>46323</v>
      </c>
      <c r="B492" s="10">
        <v>0.041666666666666664</v>
      </c>
      <c r="C492" s="10">
        <v>0.0625</v>
      </c>
      <c r="D492" s="11" t="s">
        <v>37</v>
      </c>
      <c r="E492" s="11" t="s">
        <v>37</v>
      </c>
      <c r="F492" s="11">
        <v>500</v>
      </c>
      <c r="G492" s="11">
        <v>15</v>
      </c>
      <c r="H492" s="11">
        <v>30</v>
      </c>
      <c r="I492" s="3">
        <f>IF(D492="","",IFERROR(VLOOKUP(D492,Setup!$A$2:$B$60,2,FALSE),""))</f>
      </c>
      <c r="J492" s="7">
        <f>IF(I492="","",MIN(MAX(0,IF(G492="",H492,G492)),H492))</f>
      </c>
      <c r="K492" s="5">
        <f>IF(J492="","",J492/60)</f>
      </c>
      <c r="L492" s="5">
        <f>IF(J492="","",(H492-J492)/60)</f>
      </c>
      <c r="M492" s="5">
        <f>IF(I492="Y",K492,0)</f>
      </c>
      <c r="N492" s="3">
        <f>IF(I492="Y",MAX(0,N(F492)),0)</f>
      </c>
      <c r="O492" s="5">
        <f>IF(M492&gt;0,N492/M492,"")</f>
      </c>
    </row>
    <row r="493" spans="1:15" x14ac:dyDescent="0.25">
      <c r="A493" s="2">
        <v>46323</v>
      </c>
      <c r="B493" s="10">
        <v>0.0625</v>
      </c>
      <c r="C493" s="10">
        <v>0.08333333333333333</v>
      </c>
      <c r="D493" s="11"/>
      <c r="E493" s="11"/>
      <c r="F493" s="11"/>
      <c r="G493" s="11"/>
      <c r="H493" s="11">
        <v>30</v>
      </c>
      <c r="I493" s="3">
        <f>IF(D493="","",IFERROR(VLOOKUP(D493,Setup!$A$2:$B$60,2,FALSE),""))</f>
      </c>
      <c r="J493" s="7">
        <f>IF(I493="","",MIN(MAX(0,IF(G493="",H493,G493)),H493))</f>
      </c>
      <c r="K493" s="5">
        <f>IF(J493="","",J493/60)</f>
      </c>
      <c r="L493" s="5">
        <f>IF(J493="","",(H493-J493)/60)</f>
      </c>
      <c r="M493" s="5">
        <f>IF(I493="Y",K493,0)</f>
      </c>
      <c r="N493" s="3">
        <f>IF(I493="Y",MAX(0,N(F493)),0)</f>
      </c>
      <c r="O493" s="5">
        <f>IF(M493&gt;0,N493/M493,"")</f>
      </c>
    </row>
    <row r="494" spans="1:15" x14ac:dyDescent="0.25">
      <c r="A494" s="2">
        <v>46323</v>
      </c>
      <c r="B494" s="10">
        <v>0.08333333333333333</v>
      </c>
      <c r="C494" s="10">
        <v>0.10416666666666667</v>
      </c>
      <c r="D494" s="11"/>
      <c r="E494" s="11"/>
      <c r="F494" s="11"/>
      <c r="G494" s="11"/>
      <c r="H494" s="11">
        <v>30</v>
      </c>
      <c r="I494" s="3">
        <f>IF(D494="","",IFERROR(VLOOKUP(D494,Setup!$A$2:$B$60,2,FALSE),""))</f>
      </c>
      <c r="J494" s="7">
        <f>IF(I494="","",MIN(MAX(0,IF(G494="",H494,G494)),H494))</f>
      </c>
      <c r="K494" s="5">
        <f>IF(J494="","",J494/60)</f>
      </c>
      <c r="L494" s="5">
        <f>IF(J494="","",(H494-J494)/60)</f>
      </c>
      <c r="M494" s="5">
        <f>IF(I494="Y",K494,0)</f>
      </c>
      <c r="N494" s="3">
        <f>IF(I494="Y",MAX(0,N(F494)),0)</f>
      </c>
      <c r="O494" s="5">
        <f>IF(M494&gt;0,N494/M494,"")</f>
      </c>
    </row>
    <row r="495" spans="1:15" x14ac:dyDescent="0.25">
      <c r="A495" s="2">
        <v>46323</v>
      </c>
      <c r="B495" s="10">
        <v>0.10416666666666667</v>
      </c>
      <c r="C495" s="10">
        <v>0.125</v>
      </c>
      <c r="D495" s="11"/>
      <c r="E495" s="11"/>
      <c r="F495" s="11"/>
      <c r="G495" s="11"/>
      <c r="H495" s="11">
        <v>30</v>
      </c>
      <c r="I495" s="3">
        <f>IF(D495="","",IFERROR(VLOOKUP(D495,Setup!$A$2:$B$60,2,FALSE),""))</f>
      </c>
      <c r="J495" s="7">
        <f>IF(I495="","",MIN(MAX(0,IF(G495="",H495,G495)),H495))</f>
      </c>
      <c r="K495" s="5">
        <f>IF(J495="","",J495/60)</f>
      </c>
      <c r="L495" s="5">
        <f>IF(J495="","",(H495-J495)/60)</f>
      </c>
      <c r="M495" s="5">
        <f>IF(I495="Y",K495,0)</f>
      </c>
      <c r="N495" s="3">
        <f>IF(I495="Y",MAX(0,N(F495)),0)</f>
      </c>
      <c r="O495" s="5">
        <f>IF(M495&gt;0,N495/M495,"")</f>
      </c>
    </row>
    <row r="496" spans="1:15" x14ac:dyDescent="0.25">
      <c r="A496" s="2">
        <v>46323</v>
      </c>
      <c r="B496" s="10">
        <v>0.125</v>
      </c>
      <c r="C496" s="10">
        <v>0.14583333333333334</v>
      </c>
      <c r="D496" s="11"/>
      <c r="E496" s="11"/>
      <c r="F496" s="11"/>
      <c r="G496" s="11"/>
      <c r="H496" s="11">
        <v>30</v>
      </c>
      <c r="I496" s="3">
        <f>IF(D496="","",IFERROR(VLOOKUP(D496,Setup!$A$2:$B$60,2,FALSE),""))</f>
      </c>
      <c r="J496" s="7">
        <f>IF(I496="","",MIN(MAX(0,IF(G496="",H496,G496)),H496))</f>
      </c>
      <c r="K496" s="5">
        <f>IF(J496="","",J496/60)</f>
      </c>
      <c r="L496" s="5">
        <f>IF(J496="","",(H496-J496)/60)</f>
      </c>
      <c r="M496" s="5">
        <f>IF(I496="Y",K496,0)</f>
      </c>
      <c r="N496" s="3">
        <f>IF(I496="Y",MAX(0,N(F496)),0)</f>
      </c>
      <c r="O496" s="5">
        <f>IF(M496&gt;0,N496/M496,"")</f>
      </c>
    </row>
    <row r="497" spans="1:15" x14ac:dyDescent="0.25">
      <c r="A497" s="2">
        <v>46323</v>
      </c>
      <c r="B497" s="10">
        <v>0.14583333333333334</v>
      </c>
      <c r="C497" s="10">
        <v>0.16666666666666666</v>
      </c>
      <c r="D497" s="11"/>
      <c r="E497" s="11"/>
      <c r="F497" s="11"/>
      <c r="G497" s="11"/>
      <c r="H497" s="11">
        <v>30</v>
      </c>
      <c r="I497" s="3">
        <f>IF(D497="","",IFERROR(VLOOKUP(D497,Setup!$A$2:$B$60,2,FALSE),""))</f>
      </c>
      <c r="J497" s="7">
        <f>IF(I497="","",MIN(MAX(0,IF(G497="",H497,G497)),H497))</f>
      </c>
      <c r="K497" s="5">
        <f>IF(J497="","",J497/60)</f>
      </c>
      <c r="L497" s="5">
        <f>IF(J497="","",(H497-J497)/60)</f>
      </c>
      <c r="M497" s="5">
        <f>IF(I497="Y",K497,0)</f>
      </c>
      <c r="N497" s="3">
        <f>IF(I497="Y",MAX(0,N(F497)),0)</f>
      </c>
      <c r="O497" s="5">
        <f>IF(M497&gt;0,N497/M497,"")</f>
      </c>
    </row>
    <row r="498" spans="1:15" x14ac:dyDescent="0.25">
      <c r="A498" s="2">
        <v>46323</v>
      </c>
      <c r="B498" s="10">
        <v>0.16666666666666666</v>
      </c>
      <c r="C498" s="10">
        <v>0.1875</v>
      </c>
      <c r="D498" s="11"/>
      <c r="E498" s="11"/>
      <c r="F498" s="11"/>
      <c r="G498" s="11"/>
      <c r="H498" s="11">
        <v>30</v>
      </c>
      <c r="I498" s="3">
        <f>IF(D498="","",IFERROR(VLOOKUP(D498,Setup!$A$2:$B$60,2,FALSE),""))</f>
      </c>
      <c r="J498" s="7">
        <f>IF(I498="","",MIN(MAX(0,IF(G498="",H498,G498)),H498))</f>
      </c>
      <c r="K498" s="5">
        <f>IF(J498="","",J498/60)</f>
      </c>
      <c r="L498" s="5">
        <f>IF(J498="","",(H498-J498)/60)</f>
      </c>
      <c r="M498" s="5">
        <f>IF(I498="Y",K498,0)</f>
      </c>
      <c r="N498" s="3">
        <f>IF(I498="Y",MAX(0,N(F498)),0)</f>
      </c>
      <c r="O498" s="5">
        <f>IF(M498&gt;0,N498/M498,"")</f>
      </c>
    </row>
    <row r="499" spans="1:15" x14ac:dyDescent="0.25">
      <c r="A499" s="2">
        <v>46323</v>
      </c>
      <c r="B499" s="10">
        <v>0.1875</v>
      </c>
      <c r="C499" s="10">
        <v>0.20833333333333334</v>
      </c>
      <c r="D499" s="11"/>
      <c r="E499" s="11"/>
      <c r="F499" s="11"/>
      <c r="G499" s="11"/>
      <c r="H499" s="11">
        <v>30</v>
      </c>
      <c r="I499" s="3">
        <f>IF(D499="","",IFERROR(VLOOKUP(D499,Setup!$A$2:$B$60,2,FALSE),""))</f>
      </c>
      <c r="J499" s="7">
        <f>IF(I499="","",MIN(MAX(0,IF(G499="",H499,G499)),H499))</f>
      </c>
      <c r="K499" s="5">
        <f>IF(J499="","",J499/60)</f>
      </c>
      <c r="L499" s="5">
        <f>IF(J499="","",(H499-J499)/60)</f>
      </c>
      <c r="M499" s="5">
        <f>IF(I499="Y",K499,0)</f>
      </c>
      <c r="N499" s="3">
        <f>IF(I499="Y",MAX(0,N(F499)),0)</f>
      </c>
      <c r="O499" s="5">
        <f>IF(M499&gt;0,N499/M499,"")</f>
      </c>
    </row>
    <row r="500" spans="1:15" x14ac:dyDescent="0.25">
      <c r="A500" s="2">
        <v>46323</v>
      </c>
      <c r="B500" s="10">
        <v>0.20833333333333334</v>
      </c>
      <c r="C500" s="10">
        <v>0.22916666666666666</v>
      </c>
      <c r="D500" s="11"/>
      <c r="E500" s="11"/>
      <c r="F500" s="11"/>
      <c r="G500" s="11"/>
      <c r="H500" s="11">
        <v>30</v>
      </c>
      <c r="I500" s="3">
        <f>IF(D500="","",IFERROR(VLOOKUP(D500,Setup!$A$2:$B$60,2,FALSE),""))</f>
      </c>
      <c r="J500" s="7">
        <f>IF(I500="","",MIN(MAX(0,IF(G500="",H500,G500)),H500))</f>
      </c>
      <c r="K500" s="5">
        <f>IF(J500="","",J500/60)</f>
      </c>
      <c r="L500" s="5">
        <f>IF(J500="","",(H500-J500)/60)</f>
      </c>
      <c r="M500" s="5">
        <f>IF(I500="Y",K500,0)</f>
      </c>
      <c r="N500" s="3">
        <f>IF(I500="Y",MAX(0,N(F500)),0)</f>
      </c>
      <c r="O500" s="5">
        <f>IF(M500&gt;0,N500/M500,"")</f>
      </c>
    </row>
    <row r="501" spans="1:15" x14ac:dyDescent="0.25">
      <c r="A501" s="2">
        <v>46323</v>
      </c>
      <c r="B501" s="10">
        <v>0.22916666666666666</v>
      </c>
      <c r="C501" s="10">
        <v>0.25</v>
      </c>
      <c r="D501" s="11"/>
      <c r="E501" s="11"/>
      <c r="F501" s="11"/>
      <c r="G501" s="11"/>
      <c r="H501" s="11">
        <v>30</v>
      </c>
      <c r="I501" s="3">
        <f>IF(D501="","",IFERROR(VLOOKUP(D501,Setup!$A$2:$B$60,2,FALSE),""))</f>
      </c>
      <c r="J501" s="7">
        <f>IF(I501="","",MIN(MAX(0,IF(G501="",H501,G501)),H501))</f>
      </c>
      <c r="K501" s="5">
        <f>IF(J501="","",J501/60)</f>
      </c>
      <c r="L501" s="5">
        <f>IF(J501="","",(H501-J501)/60)</f>
      </c>
      <c r="M501" s="5">
        <f>IF(I501="Y",K501,0)</f>
      </c>
      <c r="N501" s="3">
        <f>IF(I501="Y",MAX(0,N(F501)),0)</f>
      </c>
      <c r="O501" s="5">
        <f>IF(M501&gt;0,N501/M501,"")</f>
      </c>
    </row>
    <row r="502" spans="1:15" x14ac:dyDescent="0.25">
      <c r="A502" s="2">
        <v>46323</v>
      </c>
      <c r="B502" s="10">
        <v>0.25</v>
      </c>
      <c r="C502" s="10">
        <v>0.2708333333333333</v>
      </c>
      <c r="D502" s="11"/>
      <c r="E502" s="11"/>
      <c r="F502" s="11"/>
      <c r="G502" s="11"/>
      <c r="H502" s="11">
        <v>30</v>
      </c>
      <c r="I502" s="3">
        <f>IF(D502="","",IFERROR(VLOOKUP(D502,Setup!$A$2:$B$60,2,FALSE),""))</f>
      </c>
      <c r="J502" s="7">
        <f>IF(I502="","",MIN(MAX(0,IF(G502="",H502,G502)),H502))</f>
      </c>
      <c r="K502" s="5">
        <f>IF(J502="","",J502/60)</f>
      </c>
      <c r="L502" s="5">
        <f>IF(J502="","",(H502-J502)/60)</f>
      </c>
      <c r="M502" s="5">
        <f>IF(I502="Y",K502,0)</f>
      </c>
      <c r="N502" s="3">
        <f>IF(I502="Y",MAX(0,N(F502)),0)</f>
      </c>
      <c r="O502" s="5">
        <f>IF(M502&gt;0,N502/M502,"")</f>
      </c>
    </row>
    <row r="503" spans="1:15" x14ac:dyDescent="0.25">
      <c r="A503" s="2">
        <v>46323</v>
      </c>
      <c r="B503" s="10">
        <v>0.2708333333333333</v>
      </c>
      <c r="C503" s="10">
        <v>0.2916666666666667</v>
      </c>
      <c r="D503" s="11"/>
      <c r="E503" s="11"/>
      <c r="F503" s="11"/>
      <c r="G503" s="11"/>
      <c r="H503" s="11">
        <v>30</v>
      </c>
      <c r="I503" s="3">
        <f>IF(D503="","",IFERROR(VLOOKUP(D503,Setup!$A$2:$B$60,2,FALSE),""))</f>
      </c>
      <c r="J503" s="7">
        <f>IF(I503="","",MIN(MAX(0,IF(G503="",H503,G503)),H503))</f>
      </c>
      <c r="K503" s="5">
        <f>IF(J503="","",J503/60)</f>
      </c>
      <c r="L503" s="5">
        <f>IF(J503="","",(H503-J503)/60)</f>
      </c>
      <c r="M503" s="5">
        <f>IF(I503="Y",K503,0)</f>
      </c>
      <c r="N503" s="3">
        <f>IF(I503="Y",MAX(0,N(F503)),0)</f>
      </c>
      <c r="O503" s="5">
        <f>IF(M503&gt;0,N503/M503,"")</f>
      </c>
    </row>
    <row r="504" spans="1:15" x14ac:dyDescent="0.25">
      <c r="A504" s="2">
        <v>46323</v>
      </c>
      <c r="B504" s="10">
        <v>0.2916666666666667</v>
      </c>
      <c r="C504" s="10">
        <v>0.3125</v>
      </c>
      <c r="D504" s="11"/>
      <c r="E504" s="11"/>
      <c r="F504" s="11"/>
      <c r="G504" s="11"/>
      <c r="H504" s="11">
        <v>30</v>
      </c>
      <c r="I504" s="3">
        <f>IF(D504="","",IFERROR(VLOOKUP(D504,Setup!$A$2:$B$60,2,FALSE),""))</f>
      </c>
      <c r="J504" s="7">
        <f>IF(I504="","",MIN(MAX(0,IF(G504="",H504,G504)),H504))</f>
      </c>
      <c r="K504" s="5">
        <f>IF(J504="","",J504/60)</f>
      </c>
      <c r="L504" s="5">
        <f>IF(J504="","",(H504-J504)/60)</f>
      </c>
      <c r="M504" s="5">
        <f>IF(I504="Y",K504,0)</f>
      </c>
      <c r="N504" s="3">
        <f>IF(I504="Y",MAX(0,N(F504)),0)</f>
      </c>
      <c r="O504" s="5">
        <f>IF(M504&gt;0,N504/M504,"")</f>
      </c>
    </row>
    <row r="505" spans="1:15" x14ac:dyDescent="0.25">
      <c r="A505" s="2">
        <v>46323</v>
      </c>
      <c r="B505" s="10">
        <v>0.3125</v>
      </c>
      <c r="C505" s="10">
        <v>0.3333333333333333</v>
      </c>
      <c r="D505" s="11"/>
      <c r="E505" s="11"/>
      <c r="F505" s="11"/>
      <c r="G505" s="11"/>
      <c r="H505" s="11">
        <v>30</v>
      </c>
      <c r="I505" s="3">
        <f>IF(D505="","",IFERROR(VLOOKUP(D505,Setup!$A$2:$B$60,2,FALSE),""))</f>
      </c>
      <c r="J505" s="7">
        <f>IF(I505="","",MIN(MAX(0,IF(G505="",H505,G505)),H505))</f>
      </c>
      <c r="K505" s="5">
        <f>IF(J505="","",J505/60)</f>
      </c>
      <c r="L505" s="5">
        <f>IF(J505="","",(H505-J505)/60)</f>
      </c>
      <c r="M505" s="5">
        <f>IF(I505="Y",K505,0)</f>
      </c>
      <c r="N505" s="3">
        <f>IF(I505="Y",MAX(0,N(F505)),0)</f>
      </c>
      <c r="O505" s="5">
        <f>IF(M505&gt;0,N505/M505,"")</f>
      </c>
    </row>
    <row r="506" spans="1:15" x14ac:dyDescent="0.25">
      <c r="A506" s="2">
        <v>46324</v>
      </c>
      <c r="B506" s="10">
        <v>0.9583333333333334</v>
      </c>
      <c r="C506" s="10">
        <v>0.9791666666666666</v>
      </c>
      <c r="D506" s="11"/>
      <c r="E506" s="11"/>
      <c r="F506" s="11"/>
      <c r="G506" s="11"/>
      <c r="H506" s="11">
        <v>30</v>
      </c>
      <c r="I506" s="3">
        <f>IF(D506="","",IFERROR(VLOOKUP(D506,Setup!$A$2:$B$60,2,FALSE),""))</f>
      </c>
      <c r="J506" s="7">
        <f>IF(I506="","",MIN(MAX(0,IF(G506="",H506,G506)),H506))</f>
      </c>
      <c r="K506" s="5">
        <f>IF(J506="","",J506/60)</f>
      </c>
      <c r="L506" s="5">
        <f>IF(J506="","",(H506-J506)/60)</f>
      </c>
      <c r="M506" s="5">
        <f>IF(I506="Y",K506,0)</f>
      </c>
      <c r="N506" s="3">
        <f>IF(I506="Y",MAX(0,N(F506)),0)</f>
      </c>
      <c r="O506" s="5">
        <f>IF(M506&gt;0,N506/M506,"")</f>
      </c>
    </row>
    <row r="507" spans="1:15" x14ac:dyDescent="0.25">
      <c r="A507" s="2">
        <v>46324</v>
      </c>
      <c r="B507" s="10">
        <v>0.9791666666666666</v>
      </c>
      <c r="C507" s="10">
        <v>0</v>
      </c>
      <c r="D507" s="11"/>
      <c r="E507" s="11"/>
      <c r="F507" s="11"/>
      <c r="G507" s="11"/>
      <c r="H507" s="11">
        <v>30</v>
      </c>
      <c r="I507" s="3">
        <f>IF(D507="","",IFERROR(VLOOKUP(D507,Setup!$A$2:$B$60,2,FALSE),""))</f>
      </c>
      <c r="J507" s="7">
        <f>IF(I507="","",MIN(MAX(0,IF(G507="",H507,G507)),H507))</f>
      </c>
      <c r="K507" s="5">
        <f>IF(J507="","",J507/60)</f>
      </c>
      <c r="L507" s="5">
        <f>IF(J507="","",(H507-J507)/60)</f>
      </c>
      <c r="M507" s="5">
        <f>IF(I507="Y",K507,0)</f>
      </c>
      <c r="N507" s="3">
        <f>IF(I507="Y",MAX(0,N(F507)),0)</f>
      </c>
      <c r="O507" s="5">
        <f>IF(M507&gt;0,N507/M507,"")</f>
      </c>
    </row>
    <row r="508" spans="1:15" x14ac:dyDescent="0.25">
      <c r="A508" s="2">
        <v>46324</v>
      </c>
      <c r="B508" s="10">
        <v>0</v>
      </c>
      <c r="C508" s="10">
        <v>0.020833333333333332</v>
      </c>
      <c r="D508" s="11"/>
      <c r="E508" s="11"/>
      <c r="F508" s="11"/>
      <c r="G508" s="11"/>
      <c r="H508" s="11">
        <v>30</v>
      </c>
      <c r="I508" s="3">
        <f>IF(D508="","",IFERROR(VLOOKUP(D508,Setup!$A$2:$B$60,2,FALSE),""))</f>
      </c>
      <c r="J508" s="7">
        <f>IF(I508="","",MIN(MAX(0,IF(G508="",H508,G508)),H508))</f>
      </c>
      <c r="K508" s="5">
        <f>IF(J508="","",J508/60)</f>
      </c>
      <c r="L508" s="5">
        <f>IF(J508="","",(H508-J508)/60)</f>
      </c>
      <c r="M508" s="5">
        <f>IF(I508="Y",K508,0)</f>
      </c>
      <c r="N508" s="3">
        <f>IF(I508="Y",MAX(0,N(F508)),0)</f>
      </c>
      <c r="O508" s="5">
        <f>IF(M508&gt;0,N508/M508,"")</f>
      </c>
    </row>
    <row r="509" spans="1:15" x14ac:dyDescent="0.25">
      <c r="A509" s="2">
        <v>46324</v>
      </c>
      <c r="B509" s="10">
        <v>0.020833333333333332</v>
      </c>
      <c r="C509" s="10">
        <v>0.041666666666666664</v>
      </c>
      <c r="D509" s="11"/>
      <c r="E509" s="11"/>
      <c r="F509" s="11"/>
      <c r="G509" s="11"/>
      <c r="H509" s="11">
        <v>30</v>
      </c>
      <c r="I509" s="3">
        <f>IF(D509="","",IFERROR(VLOOKUP(D509,Setup!$A$2:$B$60,2,FALSE),""))</f>
      </c>
      <c r="J509" s="7">
        <f>IF(I509="","",MIN(MAX(0,IF(G509="",H509,G509)),H509))</f>
      </c>
      <c r="K509" s="5">
        <f>IF(J509="","",J509/60)</f>
      </c>
      <c r="L509" s="5">
        <f>IF(J509="","",(H509-J509)/60)</f>
      </c>
      <c r="M509" s="5">
        <f>IF(I509="Y",K509,0)</f>
      </c>
      <c r="N509" s="3">
        <f>IF(I509="Y",MAX(0,N(F509)),0)</f>
      </c>
      <c r="O509" s="5">
        <f>IF(M509&gt;0,N509/M509,"")</f>
      </c>
    </row>
    <row r="510" spans="1:15" x14ac:dyDescent="0.25">
      <c r="A510" s="2">
        <v>46324</v>
      </c>
      <c r="B510" s="10">
        <v>0.041666666666666664</v>
      </c>
      <c r="C510" s="10">
        <v>0.0625</v>
      </c>
      <c r="D510" s="11"/>
      <c r="E510" s="11"/>
      <c r="F510" s="11"/>
      <c r="G510" s="11"/>
      <c r="H510" s="11">
        <v>30</v>
      </c>
      <c r="I510" s="3">
        <f>IF(D510="","",IFERROR(VLOOKUP(D510,Setup!$A$2:$B$60,2,FALSE),""))</f>
      </c>
      <c r="J510" s="7">
        <f>IF(I510="","",MIN(MAX(0,IF(G510="",H510,G510)),H510))</f>
      </c>
      <c r="K510" s="5">
        <f>IF(J510="","",J510/60)</f>
      </c>
      <c r="L510" s="5">
        <f>IF(J510="","",(H510-J510)/60)</f>
      </c>
      <c r="M510" s="5">
        <f>IF(I510="Y",K510,0)</f>
      </c>
      <c r="N510" s="3">
        <f>IF(I510="Y",MAX(0,N(F510)),0)</f>
      </c>
      <c r="O510" s="5">
        <f>IF(M510&gt;0,N510/M510,"")</f>
      </c>
    </row>
    <row r="511" spans="1:15" x14ac:dyDescent="0.25">
      <c r="A511" s="2">
        <v>46324</v>
      </c>
      <c r="B511" s="10">
        <v>0.0625</v>
      </c>
      <c r="C511" s="10">
        <v>0.08333333333333333</v>
      </c>
      <c r="D511" s="11"/>
      <c r="E511" s="11"/>
      <c r="F511" s="11"/>
      <c r="G511" s="11"/>
      <c r="H511" s="11">
        <v>30</v>
      </c>
      <c r="I511" s="3">
        <f>IF(D511="","",IFERROR(VLOOKUP(D511,Setup!$A$2:$B$60,2,FALSE),""))</f>
      </c>
      <c r="J511" s="7">
        <f>IF(I511="","",MIN(MAX(0,IF(G511="",H511,G511)),H511))</f>
      </c>
      <c r="K511" s="5">
        <f>IF(J511="","",J511/60)</f>
      </c>
      <c r="L511" s="5">
        <f>IF(J511="","",(H511-J511)/60)</f>
      </c>
      <c r="M511" s="5">
        <f>IF(I511="Y",K511,0)</f>
      </c>
      <c r="N511" s="3">
        <f>IF(I511="Y",MAX(0,N(F511)),0)</f>
      </c>
      <c r="O511" s="5">
        <f>IF(M511&gt;0,N511/M511,"")</f>
      </c>
    </row>
    <row r="512" spans="1:15" x14ac:dyDescent="0.25">
      <c r="A512" s="2">
        <v>46324</v>
      </c>
      <c r="B512" s="10">
        <v>0.08333333333333333</v>
      </c>
      <c r="C512" s="10">
        <v>0.10416666666666667</v>
      </c>
      <c r="D512" s="11"/>
      <c r="E512" s="11"/>
      <c r="F512" s="11"/>
      <c r="G512" s="11"/>
      <c r="H512" s="11">
        <v>30</v>
      </c>
      <c r="I512" s="3">
        <f>IF(D512="","",IFERROR(VLOOKUP(D512,Setup!$A$2:$B$60,2,FALSE),""))</f>
      </c>
      <c r="J512" s="7">
        <f>IF(I512="","",MIN(MAX(0,IF(G512="",H512,G512)),H512))</f>
      </c>
      <c r="K512" s="5">
        <f>IF(J512="","",J512/60)</f>
      </c>
      <c r="L512" s="5">
        <f>IF(J512="","",(H512-J512)/60)</f>
      </c>
      <c r="M512" s="5">
        <f>IF(I512="Y",K512,0)</f>
      </c>
      <c r="N512" s="3">
        <f>IF(I512="Y",MAX(0,N(F512)),0)</f>
      </c>
      <c r="O512" s="5">
        <f>IF(M512&gt;0,N512/M512,"")</f>
      </c>
    </row>
    <row r="513" spans="1:15" x14ac:dyDescent="0.25">
      <c r="A513" s="2">
        <v>46324</v>
      </c>
      <c r="B513" s="10">
        <v>0.10416666666666667</v>
      </c>
      <c r="C513" s="10">
        <v>0.125</v>
      </c>
      <c r="D513" s="11"/>
      <c r="E513" s="11"/>
      <c r="F513" s="11"/>
      <c r="G513" s="11"/>
      <c r="H513" s="11">
        <v>30</v>
      </c>
      <c r="I513" s="3">
        <f>IF(D513="","",IFERROR(VLOOKUP(D513,Setup!$A$2:$B$60,2,FALSE),""))</f>
      </c>
      <c r="J513" s="7">
        <f>IF(I513="","",MIN(MAX(0,IF(G513="",H513,G513)),H513))</f>
      </c>
      <c r="K513" s="5">
        <f>IF(J513="","",J513/60)</f>
      </c>
      <c r="L513" s="5">
        <f>IF(J513="","",(H513-J513)/60)</f>
      </c>
      <c r="M513" s="5">
        <f>IF(I513="Y",K513,0)</f>
      </c>
      <c r="N513" s="3">
        <f>IF(I513="Y",MAX(0,N(F513)),0)</f>
      </c>
      <c r="O513" s="5">
        <f>IF(M513&gt;0,N513/M513,"")</f>
      </c>
    </row>
    <row r="514" spans="1:15" x14ac:dyDescent="0.25">
      <c r="A514" s="2">
        <v>46324</v>
      </c>
      <c r="B514" s="10">
        <v>0.125</v>
      </c>
      <c r="C514" s="10">
        <v>0.14583333333333334</v>
      </c>
      <c r="D514" s="11"/>
      <c r="E514" s="11"/>
      <c r="F514" s="11"/>
      <c r="G514" s="11"/>
      <c r="H514" s="11">
        <v>30</v>
      </c>
      <c r="I514" s="3">
        <f>IF(D514="","",IFERROR(VLOOKUP(D514,Setup!$A$2:$B$60,2,FALSE),""))</f>
      </c>
      <c r="J514" s="7">
        <f>IF(I514="","",MIN(MAX(0,IF(G514="",H514,G514)),H514))</f>
      </c>
      <c r="K514" s="5">
        <f>IF(J514="","",J514/60)</f>
      </c>
      <c r="L514" s="5">
        <f>IF(J514="","",(H514-J514)/60)</f>
      </c>
      <c r="M514" s="5">
        <f>IF(I514="Y",K514,0)</f>
      </c>
      <c r="N514" s="3">
        <f>IF(I514="Y",MAX(0,N(F514)),0)</f>
      </c>
      <c r="O514" s="5">
        <f>IF(M514&gt;0,N514/M514,"")</f>
      </c>
    </row>
    <row r="515" spans="1:15" x14ac:dyDescent="0.25">
      <c r="A515" s="2">
        <v>46324</v>
      </c>
      <c r="B515" s="10">
        <v>0.14583333333333334</v>
      </c>
      <c r="C515" s="10">
        <v>0.16666666666666666</v>
      </c>
      <c r="D515" s="11"/>
      <c r="E515" s="11"/>
      <c r="F515" s="11"/>
      <c r="G515" s="11"/>
      <c r="H515" s="11">
        <v>30</v>
      </c>
      <c r="I515" s="3">
        <f>IF(D515="","",IFERROR(VLOOKUP(D515,Setup!$A$2:$B$60,2,FALSE),""))</f>
      </c>
      <c r="J515" s="7">
        <f>IF(I515="","",MIN(MAX(0,IF(G515="",H515,G515)),H515))</f>
      </c>
      <c r="K515" s="5">
        <f>IF(J515="","",J515/60)</f>
      </c>
      <c r="L515" s="5">
        <f>IF(J515="","",(H515-J515)/60)</f>
      </c>
      <c r="M515" s="5">
        <f>IF(I515="Y",K515,0)</f>
      </c>
      <c r="N515" s="3">
        <f>IF(I515="Y",MAX(0,N(F515)),0)</f>
      </c>
      <c r="O515" s="5">
        <f>IF(M515&gt;0,N515/M515,"")</f>
      </c>
    </row>
    <row r="516" spans="1:15" x14ac:dyDescent="0.25">
      <c r="A516" s="2">
        <v>46324</v>
      </c>
      <c r="B516" s="10">
        <v>0.16666666666666666</v>
      </c>
      <c r="C516" s="10">
        <v>0.1875</v>
      </c>
      <c r="D516" s="11"/>
      <c r="E516" s="11"/>
      <c r="F516" s="11"/>
      <c r="G516" s="11"/>
      <c r="H516" s="11">
        <v>30</v>
      </c>
      <c r="I516" s="3">
        <f>IF(D516="","",IFERROR(VLOOKUP(D516,Setup!$A$2:$B$60,2,FALSE),""))</f>
      </c>
      <c r="J516" s="7">
        <f>IF(I516="","",MIN(MAX(0,IF(G516="",H516,G516)),H516))</f>
      </c>
      <c r="K516" s="5">
        <f>IF(J516="","",J516/60)</f>
      </c>
      <c r="L516" s="5">
        <f>IF(J516="","",(H516-J516)/60)</f>
      </c>
      <c r="M516" s="5">
        <f>IF(I516="Y",K516,0)</f>
      </c>
      <c r="N516" s="3">
        <f>IF(I516="Y",MAX(0,N(F516)),0)</f>
      </c>
      <c r="O516" s="5">
        <f>IF(M516&gt;0,N516/M516,"")</f>
      </c>
    </row>
    <row r="517" spans="1:15" x14ac:dyDescent="0.25">
      <c r="A517" s="2">
        <v>46324</v>
      </c>
      <c r="B517" s="10">
        <v>0.1875</v>
      </c>
      <c r="C517" s="10">
        <v>0.20833333333333334</v>
      </c>
      <c r="D517" s="11"/>
      <c r="E517" s="11"/>
      <c r="F517" s="11"/>
      <c r="G517" s="11"/>
      <c r="H517" s="11">
        <v>30</v>
      </c>
      <c r="I517" s="3">
        <f>IF(D517="","",IFERROR(VLOOKUP(D517,Setup!$A$2:$B$60,2,FALSE),""))</f>
      </c>
      <c r="J517" s="7">
        <f>IF(I517="","",MIN(MAX(0,IF(G517="",H517,G517)),H517))</f>
      </c>
      <c r="K517" s="5">
        <f>IF(J517="","",J517/60)</f>
      </c>
      <c r="L517" s="5">
        <f>IF(J517="","",(H517-J517)/60)</f>
      </c>
      <c r="M517" s="5">
        <f>IF(I517="Y",K517,0)</f>
      </c>
      <c r="N517" s="3">
        <f>IF(I517="Y",MAX(0,N(F517)),0)</f>
      </c>
      <c r="O517" s="5">
        <f>IF(M517&gt;0,N517/M517,"")</f>
      </c>
    </row>
    <row r="518" spans="1:15" x14ac:dyDescent="0.25">
      <c r="A518" s="2">
        <v>46324</v>
      </c>
      <c r="B518" s="10">
        <v>0.20833333333333334</v>
      </c>
      <c r="C518" s="10">
        <v>0.22916666666666666</v>
      </c>
      <c r="D518" s="11"/>
      <c r="E518" s="11"/>
      <c r="F518" s="11"/>
      <c r="G518" s="11"/>
      <c r="H518" s="11">
        <v>30</v>
      </c>
      <c r="I518" s="3">
        <f>IF(D518="","",IFERROR(VLOOKUP(D518,Setup!$A$2:$B$60,2,FALSE),""))</f>
      </c>
      <c r="J518" s="7">
        <f>IF(I518="","",MIN(MAX(0,IF(G518="",H518,G518)),H518))</f>
      </c>
      <c r="K518" s="5">
        <f>IF(J518="","",J518/60)</f>
      </c>
      <c r="L518" s="5">
        <f>IF(J518="","",(H518-J518)/60)</f>
      </c>
      <c r="M518" s="5">
        <f>IF(I518="Y",K518,0)</f>
      </c>
      <c r="N518" s="3">
        <f>IF(I518="Y",MAX(0,N(F518)),0)</f>
      </c>
      <c r="O518" s="5">
        <f>IF(M518&gt;0,N518/M518,"")</f>
      </c>
    </row>
    <row r="519" spans="1:15" x14ac:dyDescent="0.25">
      <c r="A519" s="2">
        <v>46324</v>
      </c>
      <c r="B519" s="10">
        <v>0.22916666666666666</v>
      </c>
      <c r="C519" s="10">
        <v>0.25</v>
      </c>
      <c r="D519" s="11"/>
      <c r="E519" s="11"/>
      <c r="F519" s="11"/>
      <c r="G519" s="11"/>
      <c r="H519" s="11">
        <v>30</v>
      </c>
      <c r="I519" s="3">
        <f>IF(D519="","",IFERROR(VLOOKUP(D519,Setup!$A$2:$B$60,2,FALSE),""))</f>
      </c>
      <c r="J519" s="7">
        <f>IF(I519="","",MIN(MAX(0,IF(G519="",H519,G519)),H519))</f>
      </c>
      <c r="K519" s="5">
        <f>IF(J519="","",J519/60)</f>
      </c>
      <c r="L519" s="5">
        <f>IF(J519="","",(H519-J519)/60)</f>
      </c>
      <c r="M519" s="5">
        <f>IF(I519="Y",K519,0)</f>
      </c>
      <c r="N519" s="3">
        <f>IF(I519="Y",MAX(0,N(F519)),0)</f>
      </c>
      <c r="O519" s="5">
        <f>IF(M519&gt;0,N519/M519,"")</f>
      </c>
    </row>
    <row r="520" spans="1:15" x14ac:dyDescent="0.25">
      <c r="A520" s="2">
        <v>46324</v>
      </c>
      <c r="B520" s="10">
        <v>0.25</v>
      </c>
      <c r="C520" s="10">
        <v>0.2708333333333333</v>
      </c>
      <c r="D520" s="11"/>
      <c r="E520" s="11"/>
      <c r="F520" s="11"/>
      <c r="G520" s="11"/>
      <c r="H520" s="11">
        <v>30</v>
      </c>
      <c r="I520" s="3">
        <f>IF(D520="","",IFERROR(VLOOKUP(D520,Setup!$A$2:$B$60,2,FALSE),""))</f>
      </c>
      <c r="J520" s="7">
        <f>IF(I520="","",MIN(MAX(0,IF(G520="",H520,G520)),H520))</f>
      </c>
      <c r="K520" s="5">
        <f>IF(J520="","",J520/60)</f>
      </c>
      <c r="L520" s="5">
        <f>IF(J520="","",(H520-J520)/60)</f>
      </c>
      <c r="M520" s="5">
        <f>IF(I520="Y",K520,0)</f>
      </c>
      <c r="N520" s="3">
        <f>IF(I520="Y",MAX(0,N(F520)),0)</f>
      </c>
      <c r="O520" s="5">
        <f>IF(M520&gt;0,N520/M520,"")</f>
      </c>
    </row>
    <row r="521" spans="1:15" x14ac:dyDescent="0.25">
      <c r="A521" s="2">
        <v>46324</v>
      </c>
      <c r="B521" s="10">
        <v>0.2708333333333333</v>
      </c>
      <c r="C521" s="10">
        <v>0.2916666666666667</v>
      </c>
      <c r="D521" s="11"/>
      <c r="E521" s="11"/>
      <c r="F521" s="11"/>
      <c r="G521" s="11"/>
      <c r="H521" s="11">
        <v>30</v>
      </c>
      <c r="I521" s="3">
        <f>IF(D521="","",IFERROR(VLOOKUP(D521,Setup!$A$2:$B$60,2,FALSE),""))</f>
      </c>
      <c r="J521" s="7">
        <f>IF(I521="","",MIN(MAX(0,IF(G521="",H521,G521)),H521))</f>
      </c>
      <c r="K521" s="5">
        <f>IF(J521="","",J521/60)</f>
      </c>
      <c r="L521" s="5">
        <f>IF(J521="","",(H521-J521)/60)</f>
      </c>
      <c r="M521" s="5">
        <f>IF(I521="Y",K521,0)</f>
      </c>
      <c r="N521" s="3">
        <f>IF(I521="Y",MAX(0,N(F521)),0)</f>
      </c>
      <c r="O521" s="5">
        <f>IF(M521&gt;0,N521/M521,"")</f>
      </c>
    </row>
    <row r="522" spans="1:15" x14ac:dyDescent="0.25">
      <c r="A522" s="2">
        <v>46324</v>
      </c>
      <c r="B522" s="10">
        <v>0.2916666666666667</v>
      </c>
      <c r="C522" s="10">
        <v>0.3125</v>
      </c>
      <c r="D522" s="11"/>
      <c r="E522" s="11"/>
      <c r="F522" s="11"/>
      <c r="G522" s="11"/>
      <c r="H522" s="11">
        <v>30</v>
      </c>
      <c r="I522" s="3">
        <f>IF(D522="","",IFERROR(VLOOKUP(D522,Setup!$A$2:$B$60,2,FALSE),""))</f>
      </c>
      <c r="J522" s="7">
        <f>IF(I522="","",MIN(MAX(0,IF(G522="",H522,G522)),H522))</f>
      </c>
      <c r="K522" s="5">
        <f>IF(J522="","",J522/60)</f>
      </c>
      <c r="L522" s="5">
        <f>IF(J522="","",(H522-J522)/60)</f>
      </c>
      <c r="M522" s="5">
        <f>IF(I522="Y",K522,0)</f>
      </c>
      <c r="N522" s="3">
        <f>IF(I522="Y",MAX(0,N(F522)),0)</f>
      </c>
      <c r="O522" s="5">
        <f>IF(M522&gt;0,N522/M522,"")</f>
      </c>
    </row>
    <row r="523" spans="1:15" x14ac:dyDescent="0.25">
      <c r="A523" s="2">
        <v>46324</v>
      </c>
      <c r="B523" s="10">
        <v>0.3125</v>
      </c>
      <c r="C523" s="10">
        <v>0.3333333333333333</v>
      </c>
      <c r="D523" s="11"/>
      <c r="E523" s="11"/>
      <c r="F523" s="11"/>
      <c r="G523" s="11"/>
      <c r="H523" s="11">
        <v>30</v>
      </c>
      <c r="I523" s="3">
        <f>IF(D523="","",IFERROR(VLOOKUP(D523,Setup!$A$2:$B$60,2,FALSE),""))</f>
      </c>
      <c r="J523" s="7">
        <f>IF(I523="","",MIN(MAX(0,IF(G523="",H523,G523)),H523))</f>
      </c>
      <c r="K523" s="5">
        <f>IF(J523="","",J523/60)</f>
      </c>
      <c r="L523" s="5">
        <f>IF(J523="","",(H523-J523)/60)</f>
      </c>
      <c r="M523" s="5">
        <f>IF(I523="Y",K523,0)</f>
      </c>
      <c r="N523" s="3">
        <f>IF(I523="Y",MAX(0,N(F523)),0)</f>
      </c>
      <c r="O523" s="5">
        <f>IF(M523&gt;0,N523/M523,"")</f>
      </c>
    </row>
    <row r="524" spans="1:15" x14ac:dyDescent="0.25">
      <c r="A524" s="2">
        <v>46325</v>
      </c>
      <c r="B524" s="10">
        <v>0.9583333333333334</v>
      </c>
      <c r="C524" s="10">
        <v>0.9791666666666666</v>
      </c>
      <c r="D524" s="11"/>
      <c r="E524" s="11"/>
      <c r="F524" s="11"/>
      <c r="G524" s="11"/>
      <c r="H524" s="11">
        <v>30</v>
      </c>
      <c r="I524" s="3">
        <f>IF(D524="","",IFERROR(VLOOKUP(D524,Setup!$A$2:$B$60,2,FALSE),""))</f>
      </c>
      <c r="J524" s="7">
        <f>IF(I524="","",MIN(MAX(0,IF(G524="",H524,G524)),H524))</f>
      </c>
      <c r="K524" s="5">
        <f>IF(J524="","",J524/60)</f>
      </c>
      <c r="L524" s="5">
        <f>IF(J524="","",(H524-J524)/60)</f>
      </c>
      <c r="M524" s="5">
        <f>IF(I524="Y",K524,0)</f>
      </c>
      <c r="N524" s="3">
        <f>IF(I524="Y",MAX(0,N(F524)),0)</f>
      </c>
      <c r="O524" s="5">
        <f>IF(M524&gt;0,N524/M524,"")</f>
      </c>
    </row>
    <row r="525" spans="1:15" x14ac:dyDescent="0.25">
      <c r="A525" s="2">
        <v>46325</v>
      </c>
      <c r="B525" s="10">
        <v>0.9791666666666666</v>
      </c>
      <c r="C525" s="10">
        <v>0</v>
      </c>
      <c r="D525" s="11"/>
      <c r="E525" s="11"/>
      <c r="F525" s="11"/>
      <c r="G525" s="11"/>
      <c r="H525" s="11">
        <v>30</v>
      </c>
      <c r="I525" s="3">
        <f>IF(D525="","",IFERROR(VLOOKUP(D525,Setup!$A$2:$B$60,2,FALSE),""))</f>
      </c>
      <c r="J525" s="7">
        <f>IF(I525="","",MIN(MAX(0,IF(G525="",H525,G525)),H525))</f>
      </c>
      <c r="K525" s="5">
        <f>IF(J525="","",J525/60)</f>
      </c>
      <c r="L525" s="5">
        <f>IF(J525="","",(H525-J525)/60)</f>
      </c>
      <c r="M525" s="5">
        <f>IF(I525="Y",K525,0)</f>
      </c>
      <c r="N525" s="3">
        <f>IF(I525="Y",MAX(0,N(F525)),0)</f>
      </c>
      <c r="O525" s="5">
        <f>IF(M525&gt;0,N525/M525,"")</f>
      </c>
    </row>
    <row r="526" spans="1:15" x14ac:dyDescent="0.25">
      <c r="A526" s="2">
        <v>46325</v>
      </c>
      <c r="B526" s="10">
        <v>0</v>
      </c>
      <c r="C526" s="10">
        <v>0.020833333333333332</v>
      </c>
      <c r="D526" s="11"/>
      <c r="E526" s="11"/>
      <c r="F526" s="11"/>
      <c r="G526" s="11"/>
      <c r="H526" s="11">
        <v>30</v>
      </c>
      <c r="I526" s="3">
        <f>IF(D526="","",IFERROR(VLOOKUP(D526,Setup!$A$2:$B$60,2,FALSE),""))</f>
      </c>
      <c r="J526" s="7">
        <f>IF(I526="","",MIN(MAX(0,IF(G526="",H526,G526)),H526))</f>
      </c>
      <c r="K526" s="5">
        <f>IF(J526="","",J526/60)</f>
      </c>
      <c r="L526" s="5">
        <f>IF(J526="","",(H526-J526)/60)</f>
      </c>
      <c r="M526" s="5">
        <f>IF(I526="Y",K526,0)</f>
      </c>
      <c r="N526" s="3">
        <f>IF(I526="Y",MAX(0,N(F526)),0)</f>
      </c>
      <c r="O526" s="5">
        <f>IF(M526&gt;0,N526/M526,"")</f>
      </c>
    </row>
    <row r="527" spans="1:15" x14ac:dyDescent="0.25">
      <c r="A527" s="2">
        <v>46325</v>
      </c>
      <c r="B527" s="10">
        <v>0.020833333333333332</v>
      </c>
      <c r="C527" s="10">
        <v>0.041666666666666664</v>
      </c>
      <c r="D527" s="11"/>
      <c r="E527" s="11"/>
      <c r="F527" s="11"/>
      <c r="G527" s="11"/>
      <c r="H527" s="11">
        <v>30</v>
      </c>
      <c r="I527" s="3">
        <f>IF(D527="","",IFERROR(VLOOKUP(D527,Setup!$A$2:$B$60,2,FALSE),""))</f>
      </c>
      <c r="J527" s="7">
        <f>IF(I527="","",MIN(MAX(0,IF(G527="",H527,G527)),H527))</f>
      </c>
      <c r="K527" s="5">
        <f>IF(J527="","",J527/60)</f>
      </c>
      <c r="L527" s="5">
        <f>IF(J527="","",(H527-J527)/60)</f>
      </c>
      <c r="M527" s="5">
        <f>IF(I527="Y",K527,0)</f>
      </c>
      <c r="N527" s="3">
        <f>IF(I527="Y",MAX(0,N(F527)),0)</f>
      </c>
      <c r="O527" s="5">
        <f>IF(M527&gt;0,N527/M527,"")</f>
      </c>
    </row>
    <row r="528" spans="1:15" x14ac:dyDescent="0.25">
      <c r="A528" s="2">
        <v>46325</v>
      </c>
      <c r="B528" s="10">
        <v>0.041666666666666664</v>
      </c>
      <c r="C528" s="10">
        <v>0.0625</v>
      </c>
      <c r="D528" s="11"/>
      <c r="E528" s="11"/>
      <c r="F528" s="11"/>
      <c r="G528" s="11"/>
      <c r="H528" s="11">
        <v>30</v>
      </c>
      <c r="I528" s="3">
        <f>IF(D528="","",IFERROR(VLOOKUP(D528,Setup!$A$2:$B$60,2,FALSE),""))</f>
      </c>
      <c r="J528" s="7">
        <f>IF(I528="","",MIN(MAX(0,IF(G528="",H528,G528)),H528))</f>
      </c>
      <c r="K528" s="5">
        <f>IF(J528="","",J528/60)</f>
      </c>
      <c r="L528" s="5">
        <f>IF(J528="","",(H528-J528)/60)</f>
      </c>
      <c r="M528" s="5">
        <f>IF(I528="Y",K528,0)</f>
      </c>
      <c r="N528" s="3">
        <f>IF(I528="Y",MAX(0,N(F528)),0)</f>
      </c>
      <c r="O528" s="5">
        <f>IF(M528&gt;0,N528/M528,"")</f>
      </c>
    </row>
    <row r="529" spans="1:15" x14ac:dyDescent="0.25">
      <c r="A529" s="2">
        <v>46325</v>
      </c>
      <c r="B529" s="10">
        <v>0.0625</v>
      </c>
      <c r="C529" s="10">
        <v>0.08333333333333333</v>
      </c>
      <c r="D529" s="11"/>
      <c r="E529" s="11"/>
      <c r="F529" s="11"/>
      <c r="G529" s="11"/>
      <c r="H529" s="11">
        <v>30</v>
      </c>
      <c r="I529" s="3">
        <f>IF(D529="","",IFERROR(VLOOKUP(D529,Setup!$A$2:$B$60,2,FALSE),""))</f>
      </c>
      <c r="J529" s="7">
        <f>IF(I529="","",MIN(MAX(0,IF(G529="",H529,G529)),H529))</f>
      </c>
      <c r="K529" s="5">
        <f>IF(J529="","",J529/60)</f>
      </c>
      <c r="L529" s="5">
        <f>IF(J529="","",(H529-J529)/60)</f>
      </c>
      <c r="M529" s="5">
        <f>IF(I529="Y",K529,0)</f>
      </c>
      <c r="N529" s="3">
        <f>IF(I529="Y",MAX(0,N(F529)),0)</f>
      </c>
      <c r="O529" s="5">
        <f>IF(M529&gt;0,N529/M529,"")</f>
      </c>
    </row>
    <row r="530" spans="1:15" x14ac:dyDescent="0.25">
      <c r="A530" s="2">
        <v>46325</v>
      </c>
      <c r="B530" s="10">
        <v>0.08333333333333333</v>
      </c>
      <c r="C530" s="10">
        <v>0.10416666666666667</v>
      </c>
      <c r="D530" s="11"/>
      <c r="E530" s="11"/>
      <c r="F530" s="11"/>
      <c r="G530" s="11"/>
      <c r="H530" s="11">
        <v>30</v>
      </c>
      <c r="I530" s="3">
        <f>IF(D530="","",IFERROR(VLOOKUP(D530,Setup!$A$2:$B$60,2,FALSE),""))</f>
      </c>
      <c r="J530" s="7">
        <f>IF(I530="","",MIN(MAX(0,IF(G530="",H530,G530)),H530))</f>
      </c>
      <c r="K530" s="5">
        <f>IF(J530="","",J530/60)</f>
      </c>
      <c r="L530" s="5">
        <f>IF(J530="","",(H530-J530)/60)</f>
      </c>
      <c r="M530" s="5">
        <f>IF(I530="Y",K530,0)</f>
      </c>
      <c r="N530" s="3">
        <f>IF(I530="Y",MAX(0,N(F530)),0)</f>
      </c>
      <c r="O530" s="5">
        <f>IF(M530&gt;0,N530/M530,"")</f>
      </c>
    </row>
    <row r="531" spans="1:15" x14ac:dyDescent="0.25">
      <c r="A531" s="2">
        <v>46325</v>
      </c>
      <c r="B531" s="10">
        <v>0.10416666666666667</v>
      </c>
      <c r="C531" s="10">
        <v>0.125</v>
      </c>
      <c r="D531" s="11"/>
      <c r="E531" s="11"/>
      <c r="F531" s="11"/>
      <c r="G531" s="11"/>
      <c r="H531" s="11">
        <v>30</v>
      </c>
      <c r="I531" s="3">
        <f>IF(D531="","",IFERROR(VLOOKUP(D531,Setup!$A$2:$B$60,2,FALSE),""))</f>
      </c>
      <c r="J531" s="7">
        <f>IF(I531="","",MIN(MAX(0,IF(G531="",H531,G531)),H531))</f>
      </c>
      <c r="K531" s="5">
        <f>IF(J531="","",J531/60)</f>
      </c>
      <c r="L531" s="5">
        <f>IF(J531="","",(H531-J531)/60)</f>
      </c>
      <c r="M531" s="5">
        <f>IF(I531="Y",K531,0)</f>
      </c>
      <c r="N531" s="3">
        <f>IF(I531="Y",MAX(0,N(F531)),0)</f>
      </c>
      <c r="O531" s="5">
        <f>IF(M531&gt;0,N531/M531,"")</f>
      </c>
    </row>
    <row r="532" spans="1:15" x14ac:dyDescent="0.25">
      <c r="A532" s="2">
        <v>46325</v>
      </c>
      <c r="B532" s="10">
        <v>0.125</v>
      </c>
      <c r="C532" s="10">
        <v>0.14583333333333334</v>
      </c>
      <c r="D532" s="11"/>
      <c r="E532" s="11"/>
      <c r="F532" s="11"/>
      <c r="G532" s="11"/>
      <c r="H532" s="11">
        <v>30</v>
      </c>
      <c r="I532" s="3">
        <f>IF(D532="","",IFERROR(VLOOKUP(D532,Setup!$A$2:$B$60,2,FALSE),""))</f>
      </c>
      <c r="J532" s="7">
        <f>IF(I532="","",MIN(MAX(0,IF(G532="",H532,G532)),H532))</f>
      </c>
      <c r="K532" s="5">
        <f>IF(J532="","",J532/60)</f>
      </c>
      <c r="L532" s="5">
        <f>IF(J532="","",(H532-J532)/60)</f>
      </c>
      <c r="M532" s="5">
        <f>IF(I532="Y",K532,0)</f>
      </c>
      <c r="N532" s="3">
        <f>IF(I532="Y",MAX(0,N(F532)),0)</f>
      </c>
      <c r="O532" s="5">
        <f>IF(M532&gt;0,N532/M532,"")</f>
      </c>
    </row>
    <row r="533" spans="1:15" x14ac:dyDescent="0.25">
      <c r="A533" s="2">
        <v>46325</v>
      </c>
      <c r="B533" s="10">
        <v>0.14583333333333334</v>
      </c>
      <c r="C533" s="10">
        <v>0.16666666666666666</v>
      </c>
      <c r="D533" s="11"/>
      <c r="E533" s="11"/>
      <c r="F533" s="11"/>
      <c r="G533" s="11"/>
      <c r="H533" s="11">
        <v>30</v>
      </c>
      <c r="I533" s="3">
        <f>IF(D533="","",IFERROR(VLOOKUP(D533,Setup!$A$2:$B$60,2,FALSE),""))</f>
      </c>
      <c r="J533" s="7">
        <f>IF(I533="","",MIN(MAX(0,IF(G533="",H533,G533)),H533))</f>
      </c>
      <c r="K533" s="5">
        <f>IF(J533="","",J533/60)</f>
      </c>
      <c r="L533" s="5">
        <f>IF(J533="","",(H533-J533)/60)</f>
      </c>
      <c r="M533" s="5">
        <f>IF(I533="Y",K533,0)</f>
      </c>
      <c r="N533" s="3">
        <f>IF(I533="Y",MAX(0,N(F533)),0)</f>
      </c>
      <c r="O533" s="5">
        <f>IF(M533&gt;0,N533/M533,"")</f>
      </c>
    </row>
    <row r="534" spans="1:15" x14ac:dyDescent="0.25">
      <c r="A534" s="2">
        <v>46325</v>
      </c>
      <c r="B534" s="10">
        <v>0.16666666666666666</v>
      </c>
      <c r="C534" s="10">
        <v>0.1875</v>
      </c>
      <c r="D534" s="11"/>
      <c r="E534" s="11"/>
      <c r="F534" s="11"/>
      <c r="G534" s="11"/>
      <c r="H534" s="11">
        <v>30</v>
      </c>
      <c r="I534" s="3">
        <f>IF(D534="","",IFERROR(VLOOKUP(D534,Setup!$A$2:$B$60,2,FALSE),""))</f>
      </c>
      <c r="J534" s="7">
        <f>IF(I534="","",MIN(MAX(0,IF(G534="",H534,G534)),H534))</f>
      </c>
      <c r="K534" s="5">
        <f>IF(J534="","",J534/60)</f>
      </c>
      <c r="L534" s="5">
        <f>IF(J534="","",(H534-J534)/60)</f>
      </c>
      <c r="M534" s="5">
        <f>IF(I534="Y",K534,0)</f>
      </c>
      <c r="N534" s="3">
        <f>IF(I534="Y",MAX(0,N(F534)),0)</f>
      </c>
      <c r="O534" s="5">
        <f>IF(M534&gt;0,N534/M534,"")</f>
      </c>
    </row>
    <row r="535" spans="1:15" x14ac:dyDescent="0.25">
      <c r="A535" s="2">
        <v>46325</v>
      </c>
      <c r="B535" s="10">
        <v>0.1875</v>
      </c>
      <c r="C535" s="10">
        <v>0.20833333333333334</v>
      </c>
      <c r="D535" s="11"/>
      <c r="E535" s="11"/>
      <c r="F535" s="11"/>
      <c r="G535" s="11"/>
      <c r="H535" s="11">
        <v>30</v>
      </c>
      <c r="I535" s="3">
        <f>IF(D535="","",IFERROR(VLOOKUP(D535,Setup!$A$2:$B$60,2,FALSE),""))</f>
      </c>
      <c r="J535" s="7">
        <f>IF(I535="","",MIN(MAX(0,IF(G535="",H535,G535)),H535))</f>
      </c>
      <c r="K535" s="5">
        <f>IF(J535="","",J535/60)</f>
      </c>
      <c r="L535" s="5">
        <f>IF(J535="","",(H535-J535)/60)</f>
      </c>
      <c r="M535" s="5">
        <f>IF(I535="Y",K535,0)</f>
      </c>
      <c r="N535" s="3">
        <f>IF(I535="Y",MAX(0,N(F535)),0)</f>
      </c>
      <c r="O535" s="5">
        <f>IF(M535&gt;0,N535/M535,"")</f>
      </c>
    </row>
    <row r="536" spans="1:15" x14ac:dyDescent="0.25">
      <c r="A536" s="2">
        <v>46325</v>
      </c>
      <c r="B536" s="10">
        <v>0.20833333333333334</v>
      </c>
      <c r="C536" s="10">
        <v>0.22916666666666666</v>
      </c>
      <c r="D536" s="11"/>
      <c r="E536" s="11"/>
      <c r="F536" s="11"/>
      <c r="G536" s="11"/>
      <c r="H536" s="11">
        <v>30</v>
      </c>
      <c r="I536" s="3">
        <f>IF(D536="","",IFERROR(VLOOKUP(D536,Setup!$A$2:$B$60,2,FALSE),""))</f>
      </c>
      <c r="J536" s="7">
        <f>IF(I536="","",MIN(MAX(0,IF(G536="",H536,G536)),H536))</f>
      </c>
      <c r="K536" s="5">
        <f>IF(J536="","",J536/60)</f>
      </c>
      <c r="L536" s="5">
        <f>IF(J536="","",(H536-J536)/60)</f>
      </c>
      <c r="M536" s="5">
        <f>IF(I536="Y",K536,0)</f>
      </c>
      <c r="N536" s="3">
        <f>IF(I536="Y",MAX(0,N(F536)),0)</f>
      </c>
      <c r="O536" s="5">
        <f>IF(M536&gt;0,N536/M536,"")</f>
      </c>
    </row>
    <row r="537" spans="1:15" x14ac:dyDescent="0.25">
      <c r="A537" s="2">
        <v>46325</v>
      </c>
      <c r="B537" s="10">
        <v>0.22916666666666666</v>
      </c>
      <c r="C537" s="10">
        <v>0.25</v>
      </c>
      <c r="D537" s="11"/>
      <c r="E537" s="11"/>
      <c r="F537" s="11"/>
      <c r="G537" s="11"/>
      <c r="H537" s="11">
        <v>30</v>
      </c>
      <c r="I537" s="3">
        <f>IF(D537="","",IFERROR(VLOOKUP(D537,Setup!$A$2:$B$60,2,FALSE),""))</f>
      </c>
      <c r="J537" s="7">
        <f>IF(I537="","",MIN(MAX(0,IF(G537="",H537,G537)),H537))</f>
      </c>
      <c r="K537" s="5">
        <f>IF(J537="","",J537/60)</f>
      </c>
      <c r="L537" s="5">
        <f>IF(J537="","",(H537-J537)/60)</f>
      </c>
      <c r="M537" s="5">
        <f>IF(I537="Y",K537,0)</f>
      </c>
      <c r="N537" s="3">
        <f>IF(I537="Y",MAX(0,N(F537)),0)</f>
      </c>
      <c r="O537" s="5">
        <f>IF(M537&gt;0,N537/M537,"")</f>
      </c>
    </row>
    <row r="538" spans="1:15" x14ac:dyDescent="0.25">
      <c r="A538" s="2">
        <v>46325</v>
      </c>
      <c r="B538" s="10">
        <v>0.25</v>
      </c>
      <c r="C538" s="10">
        <v>0.2708333333333333</v>
      </c>
      <c r="D538" s="11"/>
      <c r="E538" s="11"/>
      <c r="F538" s="11"/>
      <c r="G538" s="11"/>
      <c r="H538" s="11">
        <v>30</v>
      </c>
      <c r="I538" s="3">
        <f>IF(D538="","",IFERROR(VLOOKUP(D538,Setup!$A$2:$B$60,2,FALSE),""))</f>
      </c>
      <c r="J538" s="7">
        <f>IF(I538="","",MIN(MAX(0,IF(G538="",H538,G538)),H538))</f>
      </c>
      <c r="K538" s="5">
        <f>IF(J538="","",J538/60)</f>
      </c>
      <c r="L538" s="5">
        <f>IF(J538="","",(H538-J538)/60)</f>
      </c>
      <c r="M538" s="5">
        <f>IF(I538="Y",K538,0)</f>
      </c>
      <c r="N538" s="3">
        <f>IF(I538="Y",MAX(0,N(F538)),0)</f>
      </c>
      <c r="O538" s="5">
        <f>IF(M538&gt;0,N538/M538,"")</f>
      </c>
    </row>
    <row r="539" spans="1:15" x14ac:dyDescent="0.25">
      <c r="A539" s="2">
        <v>46325</v>
      </c>
      <c r="B539" s="10">
        <v>0.2708333333333333</v>
      </c>
      <c r="C539" s="10">
        <v>0.2916666666666667</v>
      </c>
      <c r="D539" s="11"/>
      <c r="E539" s="11"/>
      <c r="F539" s="11"/>
      <c r="G539" s="11"/>
      <c r="H539" s="11">
        <v>30</v>
      </c>
      <c r="I539" s="3">
        <f>IF(D539="","",IFERROR(VLOOKUP(D539,Setup!$A$2:$B$60,2,FALSE),""))</f>
      </c>
      <c r="J539" s="7">
        <f>IF(I539="","",MIN(MAX(0,IF(G539="",H539,G539)),H539))</f>
      </c>
      <c r="K539" s="5">
        <f>IF(J539="","",J539/60)</f>
      </c>
      <c r="L539" s="5">
        <f>IF(J539="","",(H539-J539)/60)</f>
      </c>
      <c r="M539" s="5">
        <f>IF(I539="Y",K539,0)</f>
      </c>
      <c r="N539" s="3">
        <f>IF(I539="Y",MAX(0,N(F539)),0)</f>
      </c>
      <c r="O539" s="5">
        <f>IF(M539&gt;0,N539/M539,"")</f>
      </c>
    </row>
    <row r="540" spans="1:15" x14ac:dyDescent="0.25">
      <c r="A540" s="2">
        <v>46325</v>
      </c>
      <c r="B540" s="10">
        <v>0.2916666666666667</v>
      </c>
      <c r="C540" s="10">
        <v>0.3125</v>
      </c>
      <c r="D540" s="11"/>
      <c r="E540" s="11"/>
      <c r="F540" s="11"/>
      <c r="G540" s="11"/>
      <c r="H540" s="11">
        <v>30</v>
      </c>
      <c r="I540" s="3">
        <f>IF(D540="","",IFERROR(VLOOKUP(D540,Setup!$A$2:$B$60,2,FALSE),""))</f>
      </c>
      <c r="J540" s="7">
        <f>IF(I540="","",MIN(MAX(0,IF(G540="",H540,G540)),H540))</f>
      </c>
      <c r="K540" s="5">
        <f>IF(J540="","",J540/60)</f>
      </c>
      <c r="L540" s="5">
        <f>IF(J540="","",(H540-J540)/60)</f>
      </c>
      <c r="M540" s="5">
        <f>IF(I540="Y",K540,0)</f>
      </c>
      <c r="N540" s="3">
        <f>IF(I540="Y",MAX(0,N(F540)),0)</f>
      </c>
      <c r="O540" s="5">
        <f>IF(M540&gt;0,N540/M540,"")</f>
      </c>
    </row>
    <row r="541" spans="1:15" x14ac:dyDescent="0.25">
      <c r="A541" s="2">
        <v>46325</v>
      </c>
      <c r="B541" s="10">
        <v>0.3125</v>
      </c>
      <c r="C541" s="10">
        <v>0.3333333333333333</v>
      </c>
      <c r="D541" s="11"/>
      <c r="E541" s="11"/>
      <c r="F541" s="11"/>
      <c r="G541" s="11"/>
      <c r="H541" s="11">
        <v>30</v>
      </c>
      <c r="I541" s="3">
        <f>IF(D541="","",IFERROR(VLOOKUP(D541,Setup!$A$2:$B$60,2,FALSE),""))</f>
      </c>
      <c r="J541" s="7">
        <f>IF(I541="","",MIN(MAX(0,IF(G541="",H541,G541)),H541))</f>
      </c>
      <c r="K541" s="5">
        <f>IF(J541="","",J541/60)</f>
      </c>
      <c r="L541" s="5">
        <f>IF(J541="","",(H541-J541)/60)</f>
      </c>
      <c r="M541" s="5">
        <f>IF(I541="Y",K541,0)</f>
      </c>
      <c r="N541" s="3">
        <f>IF(I541="Y",MAX(0,N(F541)),0)</f>
      </c>
      <c r="O541" s="5">
        <f>IF(M541&gt;0,N541/M541,"")</f>
      </c>
    </row>
    <row r="542" spans="1:15" x14ac:dyDescent="0.25">
      <c r="A542" s="2">
        <v>46326</v>
      </c>
      <c r="B542" s="10">
        <v>0.9583333333333334</v>
      </c>
      <c r="C542" s="10">
        <v>0.9791666666666666</v>
      </c>
      <c r="D542" s="11"/>
      <c r="E542" s="11"/>
      <c r="F542" s="11"/>
      <c r="G542" s="11"/>
      <c r="H542" s="11">
        <v>30</v>
      </c>
      <c r="I542" s="3">
        <f>IF(D542="","",IFERROR(VLOOKUP(D542,Setup!$A$2:$B$60,2,FALSE),""))</f>
      </c>
      <c r="J542" s="7">
        <f>IF(I542="","",MIN(MAX(0,IF(G542="",H542,G542)),H542))</f>
      </c>
      <c r="K542" s="5">
        <f>IF(J542="","",J542/60)</f>
      </c>
      <c r="L542" s="5">
        <f>IF(J542="","",(H542-J542)/60)</f>
      </c>
      <c r="M542" s="5">
        <f>IF(I542="Y",K542,0)</f>
      </c>
      <c r="N542" s="3">
        <f>IF(I542="Y",MAX(0,N(F542)),0)</f>
      </c>
      <c r="O542" s="5">
        <f>IF(M542&gt;0,N542/M542,"")</f>
      </c>
    </row>
    <row r="543" spans="1:15" x14ac:dyDescent="0.25">
      <c r="A543" s="2">
        <v>46326</v>
      </c>
      <c r="B543" s="10">
        <v>0.9791666666666666</v>
      </c>
      <c r="C543" s="10">
        <v>0</v>
      </c>
      <c r="D543" s="11"/>
      <c r="E543" s="11"/>
      <c r="F543" s="11"/>
      <c r="G543" s="11"/>
      <c r="H543" s="11">
        <v>30</v>
      </c>
      <c r="I543" s="3">
        <f>IF(D543="","",IFERROR(VLOOKUP(D543,Setup!$A$2:$B$60,2,FALSE),""))</f>
      </c>
      <c r="J543" s="7">
        <f>IF(I543="","",MIN(MAX(0,IF(G543="",H543,G543)),H543))</f>
      </c>
      <c r="K543" s="5">
        <f>IF(J543="","",J543/60)</f>
      </c>
      <c r="L543" s="5">
        <f>IF(J543="","",(H543-J543)/60)</f>
      </c>
      <c r="M543" s="5">
        <f>IF(I543="Y",K543,0)</f>
      </c>
      <c r="N543" s="3">
        <f>IF(I543="Y",MAX(0,N(F543)),0)</f>
      </c>
      <c r="O543" s="5">
        <f>IF(M543&gt;0,N543/M543,"")</f>
      </c>
    </row>
    <row r="544" spans="1:15" x14ac:dyDescent="0.25">
      <c r="A544" s="2">
        <v>46326</v>
      </c>
      <c r="B544" s="10">
        <v>0</v>
      </c>
      <c r="C544" s="10">
        <v>0.020833333333333332</v>
      </c>
      <c r="D544" s="11"/>
      <c r="E544" s="11"/>
      <c r="F544" s="11"/>
      <c r="G544" s="11"/>
      <c r="H544" s="11">
        <v>30</v>
      </c>
      <c r="I544" s="3">
        <f>IF(D544="","",IFERROR(VLOOKUP(D544,Setup!$A$2:$B$60,2,FALSE),""))</f>
      </c>
      <c r="J544" s="7">
        <f>IF(I544="","",MIN(MAX(0,IF(G544="",H544,G544)),H544))</f>
      </c>
      <c r="K544" s="5">
        <f>IF(J544="","",J544/60)</f>
      </c>
      <c r="L544" s="5">
        <f>IF(J544="","",(H544-J544)/60)</f>
      </c>
      <c r="M544" s="5">
        <f>IF(I544="Y",K544,0)</f>
      </c>
      <c r="N544" s="3">
        <f>IF(I544="Y",MAX(0,N(F544)),0)</f>
      </c>
      <c r="O544" s="5">
        <f>IF(M544&gt;0,N544/M544,"")</f>
      </c>
    </row>
    <row r="545" spans="1:15" x14ac:dyDescent="0.25">
      <c r="A545" s="2">
        <v>46326</v>
      </c>
      <c r="B545" s="10">
        <v>0.020833333333333332</v>
      </c>
      <c r="C545" s="10">
        <v>0.041666666666666664</v>
      </c>
      <c r="D545" s="11"/>
      <c r="E545" s="11"/>
      <c r="F545" s="11"/>
      <c r="G545" s="11"/>
      <c r="H545" s="11">
        <v>30</v>
      </c>
      <c r="I545" s="3">
        <f>IF(D545="","",IFERROR(VLOOKUP(D545,Setup!$A$2:$B$60,2,FALSE),""))</f>
      </c>
      <c r="J545" s="7">
        <f>IF(I545="","",MIN(MAX(0,IF(G545="",H545,G545)),H545))</f>
      </c>
      <c r="K545" s="5">
        <f>IF(J545="","",J545/60)</f>
      </c>
      <c r="L545" s="5">
        <f>IF(J545="","",(H545-J545)/60)</f>
      </c>
      <c r="M545" s="5">
        <f>IF(I545="Y",K545,0)</f>
      </c>
      <c r="N545" s="3">
        <f>IF(I545="Y",MAX(0,N(F545)),0)</f>
      </c>
      <c r="O545" s="5">
        <f>IF(M545&gt;0,N545/M545,"")</f>
      </c>
    </row>
    <row r="546" spans="1:15" x14ac:dyDescent="0.25">
      <c r="A546" s="2">
        <v>46326</v>
      </c>
      <c r="B546" s="10">
        <v>0.041666666666666664</v>
      </c>
      <c r="C546" s="10">
        <v>0.0625</v>
      </c>
      <c r="D546" s="11"/>
      <c r="E546" s="11"/>
      <c r="F546" s="11"/>
      <c r="G546" s="11"/>
      <c r="H546" s="11">
        <v>30</v>
      </c>
      <c r="I546" s="3">
        <f>IF(D546="","",IFERROR(VLOOKUP(D546,Setup!$A$2:$B$60,2,FALSE),""))</f>
      </c>
      <c r="J546" s="7">
        <f>IF(I546="","",MIN(MAX(0,IF(G546="",H546,G546)),H546))</f>
      </c>
      <c r="K546" s="5">
        <f>IF(J546="","",J546/60)</f>
      </c>
      <c r="L546" s="5">
        <f>IF(J546="","",(H546-J546)/60)</f>
      </c>
      <c r="M546" s="5">
        <f>IF(I546="Y",K546,0)</f>
      </c>
      <c r="N546" s="3">
        <f>IF(I546="Y",MAX(0,N(F546)),0)</f>
      </c>
      <c r="O546" s="5">
        <f>IF(M546&gt;0,N546/M546,"")</f>
      </c>
    </row>
    <row r="547" spans="1:15" x14ac:dyDescent="0.25">
      <c r="A547" s="2">
        <v>46326</v>
      </c>
      <c r="B547" s="10">
        <v>0.0625</v>
      </c>
      <c r="C547" s="10">
        <v>0.08333333333333333</v>
      </c>
      <c r="D547" s="11"/>
      <c r="E547" s="11"/>
      <c r="F547" s="11"/>
      <c r="G547" s="11"/>
      <c r="H547" s="11">
        <v>30</v>
      </c>
      <c r="I547" s="3">
        <f>IF(D547="","",IFERROR(VLOOKUP(D547,Setup!$A$2:$B$60,2,FALSE),""))</f>
      </c>
      <c r="J547" s="7">
        <f>IF(I547="","",MIN(MAX(0,IF(G547="",H547,G547)),H547))</f>
      </c>
      <c r="K547" s="5">
        <f>IF(J547="","",J547/60)</f>
      </c>
      <c r="L547" s="5">
        <f>IF(J547="","",(H547-J547)/60)</f>
      </c>
      <c r="M547" s="5">
        <f>IF(I547="Y",K547,0)</f>
      </c>
      <c r="N547" s="3">
        <f>IF(I547="Y",MAX(0,N(F547)),0)</f>
      </c>
      <c r="O547" s="5">
        <f>IF(M547&gt;0,N547/M547,"")</f>
      </c>
    </row>
    <row r="548" spans="1:15" x14ac:dyDescent="0.25">
      <c r="A548" s="2">
        <v>46326</v>
      </c>
      <c r="B548" s="10">
        <v>0.08333333333333333</v>
      </c>
      <c r="C548" s="10">
        <v>0.10416666666666667</v>
      </c>
      <c r="D548" s="11"/>
      <c r="E548" s="11"/>
      <c r="F548" s="11"/>
      <c r="G548" s="11"/>
      <c r="H548" s="11">
        <v>30</v>
      </c>
      <c r="I548" s="3">
        <f>IF(D548="","",IFERROR(VLOOKUP(D548,Setup!$A$2:$B$60,2,FALSE),""))</f>
      </c>
      <c r="J548" s="7">
        <f>IF(I548="","",MIN(MAX(0,IF(G548="",H548,G548)),H548))</f>
      </c>
      <c r="K548" s="5">
        <f>IF(J548="","",J548/60)</f>
      </c>
      <c r="L548" s="5">
        <f>IF(J548="","",(H548-J548)/60)</f>
      </c>
      <c r="M548" s="5">
        <f>IF(I548="Y",K548,0)</f>
      </c>
      <c r="N548" s="3">
        <f>IF(I548="Y",MAX(0,N(F548)),0)</f>
      </c>
      <c r="O548" s="5">
        <f>IF(M548&gt;0,N548/M548,"")</f>
      </c>
    </row>
    <row r="549" spans="1:15" x14ac:dyDescent="0.25">
      <c r="A549" s="2">
        <v>46326</v>
      </c>
      <c r="B549" s="10">
        <v>0.10416666666666667</v>
      </c>
      <c r="C549" s="10">
        <v>0.125</v>
      </c>
      <c r="D549" s="11"/>
      <c r="E549" s="11"/>
      <c r="F549" s="11"/>
      <c r="G549" s="11"/>
      <c r="H549" s="11">
        <v>30</v>
      </c>
      <c r="I549" s="3">
        <f>IF(D549="","",IFERROR(VLOOKUP(D549,Setup!$A$2:$B$60,2,FALSE),""))</f>
      </c>
      <c r="J549" s="7">
        <f>IF(I549="","",MIN(MAX(0,IF(G549="",H549,G549)),H549))</f>
      </c>
      <c r="K549" s="5">
        <f>IF(J549="","",J549/60)</f>
      </c>
      <c r="L549" s="5">
        <f>IF(J549="","",(H549-J549)/60)</f>
      </c>
      <c r="M549" s="5">
        <f>IF(I549="Y",K549,0)</f>
      </c>
      <c r="N549" s="3">
        <f>IF(I549="Y",MAX(0,N(F549)),0)</f>
      </c>
      <c r="O549" s="5">
        <f>IF(M549&gt;0,N549/M549,"")</f>
      </c>
    </row>
    <row r="550" spans="1:15" x14ac:dyDescent="0.25">
      <c r="A550" s="2">
        <v>46326</v>
      </c>
      <c r="B550" s="10">
        <v>0.125</v>
      </c>
      <c r="C550" s="10">
        <v>0.14583333333333334</v>
      </c>
      <c r="D550" s="11"/>
      <c r="E550" s="11"/>
      <c r="F550" s="11"/>
      <c r="G550" s="11"/>
      <c r="H550" s="11">
        <v>30</v>
      </c>
      <c r="I550" s="3">
        <f>IF(D550="","",IFERROR(VLOOKUP(D550,Setup!$A$2:$B$60,2,FALSE),""))</f>
      </c>
      <c r="J550" s="7">
        <f>IF(I550="","",MIN(MAX(0,IF(G550="",H550,G550)),H550))</f>
      </c>
      <c r="K550" s="5">
        <f>IF(J550="","",J550/60)</f>
      </c>
      <c r="L550" s="5">
        <f>IF(J550="","",(H550-J550)/60)</f>
      </c>
      <c r="M550" s="5">
        <f>IF(I550="Y",K550,0)</f>
      </c>
      <c r="N550" s="3">
        <f>IF(I550="Y",MAX(0,N(F550)),0)</f>
      </c>
      <c r="O550" s="5">
        <f>IF(M550&gt;0,N550/M550,"")</f>
      </c>
    </row>
    <row r="551" spans="1:15" x14ac:dyDescent="0.25">
      <c r="A551" s="2">
        <v>46326</v>
      </c>
      <c r="B551" s="10">
        <v>0.14583333333333334</v>
      </c>
      <c r="C551" s="10">
        <v>0.16666666666666666</v>
      </c>
      <c r="D551" s="11"/>
      <c r="E551" s="11"/>
      <c r="F551" s="11"/>
      <c r="G551" s="11"/>
      <c r="H551" s="11">
        <v>30</v>
      </c>
      <c r="I551" s="3">
        <f>IF(D551="","",IFERROR(VLOOKUP(D551,Setup!$A$2:$B$60,2,FALSE),""))</f>
      </c>
      <c r="J551" s="7">
        <f>IF(I551="","",MIN(MAX(0,IF(G551="",H551,G551)),H551))</f>
      </c>
      <c r="K551" s="5">
        <f>IF(J551="","",J551/60)</f>
      </c>
      <c r="L551" s="5">
        <f>IF(J551="","",(H551-J551)/60)</f>
      </c>
      <c r="M551" s="5">
        <f>IF(I551="Y",K551,0)</f>
      </c>
      <c r="N551" s="3">
        <f>IF(I551="Y",MAX(0,N(F551)),0)</f>
      </c>
      <c r="O551" s="5">
        <f>IF(M551&gt;0,N551/M551,"")</f>
      </c>
    </row>
    <row r="552" spans="1:15" x14ac:dyDescent="0.25">
      <c r="A552" s="2">
        <v>46326</v>
      </c>
      <c r="B552" s="10">
        <v>0.16666666666666666</v>
      </c>
      <c r="C552" s="10">
        <v>0.1875</v>
      </c>
      <c r="D552" s="11"/>
      <c r="E552" s="11"/>
      <c r="F552" s="11"/>
      <c r="G552" s="11"/>
      <c r="H552" s="11">
        <v>30</v>
      </c>
      <c r="I552" s="3">
        <f>IF(D552="","",IFERROR(VLOOKUP(D552,Setup!$A$2:$B$60,2,FALSE),""))</f>
      </c>
      <c r="J552" s="7">
        <f>IF(I552="","",MIN(MAX(0,IF(G552="",H552,G552)),H552))</f>
      </c>
      <c r="K552" s="5">
        <f>IF(J552="","",J552/60)</f>
      </c>
      <c r="L552" s="5">
        <f>IF(J552="","",(H552-J552)/60)</f>
      </c>
      <c r="M552" s="5">
        <f>IF(I552="Y",K552,0)</f>
      </c>
      <c r="N552" s="3">
        <f>IF(I552="Y",MAX(0,N(F552)),0)</f>
      </c>
      <c r="O552" s="5">
        <f>IF(M552&gt;0,N552/M552,"")</f>
      </c>
    </row>
    <row r="553" spans="1:15" x14ac:dyDescent="0.25">
      <c r="A553" s="2">
        <v>46326</v>
      </c>
      <c r="B553" s="10">
        <v>0.1875</v>
      </c>
      <c r="C553" s="10">
        <v>0.20833333333333334</v>
      </c>
      <c r="D553" s="11"/>
      <c r="E553" s="11"/>
      <c r="F553" s="11"/>
      <c r="G553" s="11"/>
      <c r="H553" s="11">
        <v>30</v>
      </c>
      <c r="I553" s="3">
        <f>IF(D553="","",IFERROR(VLOOKUP(D553,Setup!$A$2:$B$60,2,FALSE),""))</f>
      </c>
      <c r="J553" s="7">
        <f>IF(I553="","",MIN(MAX(0,IF(G553="",H553,G553)),H553))</f>
      </c>
      <c r="K553" s="5">
        <f>IF(J553="","",J553/60)</f>
      </c>
      <c r="L553" s="5">
        <f>IF(J553="","",(H553-J553)/60)</f>
      </c>
      <c r="M553" s="5">
        <f>IF(I553="Y",K553,0)</f>
      </c>
      <c r="N553" s="3">
        <f>IF(I553="Y",MAX(0,N(F553)),0)</f>
      </c>
      <c r="O553" s="5">
        <f>IF(M553&gt;0,N553/M553,"")</f>
      </c>
    </row>
    <row r="554" spans="1:15" x14ac:dyDescent="0.25">
      <c r="A554" s="2">
        <v>46326</v>
      </c>
      <c r="B554" s="10">
        <v>0.20833333333333334</v>
      </c>
      <c r="C554" s="10">
        <v>0.22916666666666666</v>
      </c>
      <c r="D554" s="11"/>
      <c r="E554" s="11"/>
      <c r="F554" s="11"/>
      <c r="G554" s="11"/>
      <c r="H554" s="11">
        <v>30</v>
      </c>
      <c r="I554" s="3">
        <f>IF(D554="","",IFERROR(VLOOKUP(D554,Setup!$A$2:$B$60,2,FALSE),""))</f>
      </c>
      <c r="J554" s="7">
        <f>IF(I554="","",MIN(MAX(0,IF(G554="",H554,G554)),H554))</f>
      </c>
      <c r="K554" s="5">
        <f>IF(J554="","",J554/60)</f>
      </c>
      <c r="L554" s="5">
        <f>IF(J554="","",(H554-J554)/60)</f>
      </c>
      <c r="M554" s="5">
        <f>IF(I554="Y",K554,0)</f>
      </c>
      <c r="N554" s="3">
        <f>IF(I554="Y",MAX(0,N(F554)),0)</f>
      </c>
      <c r="O554" s="5">
        <f>IF(M554&gt;0,N554/M554,"")</f>
      </c>
    </row>
    <row r="555" spans="1:15" x14ac:dyDescent="0.25">
      <c r="A555" s="2">
        <v>46326</v>
      </c>
      <c r="B555" s="10">
        <v>0.22916666666666666</v>
      </c>
      <c r="C555" s="10">
        <v>0.25</v>
      </c>
      <c r="D555" s="11"/>
      <c r="E555" s="11"/>
      <c r="F555" s="11"/>
      <c r="G555" s="11"/>
      <c r="H555" s="11">
        <v>30</v>
      </c>
      <c r="I555" s="3">
        <f>IF(D555="","",IFERROR(VLOOKUP(D555,Setup!$A$2:$B$60,2,FALSE),""))</f>
      </c>
      <c r="J555" s="7">
        <f>IF(I555="","",MIN(MAX(0,IF(G555="",H555,G555)),H555))</f>
      </c>
      <c r="K555" s="5">
        <f>IF(J555="","",J555/60)</f>
      </c>
      <c r="L555" s="5">
        <f>IF(J555="","",(H555-J555)/60)</f>
      </c>
      <c r="M555" s="5">
        <f>IF(I555="Y",K555,0)</f>
      </c>
      <c r="N555" s="3">
        <f>IF(I555="Y",MAX(0,N(F555)),0)</f>
      </c>
      <c r="O555" s="5">
        <f>IF(M555&gt;0,N555/M555,"")</f>
      </c>
    </row>
    <row r="556" spans="1:15" x14ac:dyDescent="0.25">
      <c r="A556" s="2">
        <v>46326</v>
      </c>
      <c r="B556" s="10">
        <v>0.25</v>
      </c>
      <c r="C556" s="10">
        <v>0.2708333333333333</v>
      </c>
      <c r="D556" s="11"/>
      <c r="E556" s="11"/>
      <c r="F556" s="11"/>
      <c r="G556" s="11"/>
      <c r="H556" s="11">
        <v>30</v>
      </c>
      <c r="I556" s="3">
        <f>IF(D556="","",IFERROR(VLOOKUP(D556,Setup!$A$2:$B$60,2,FALSE),""))</f>
      </c>
      <c r="J556" s="7">
        <f>IF(I556="","",MIN(MAX(0,IF(G556="",H556,G556)),H556))</f>
      </c>
      <c r="K556" s="5">
        <f>IF(J556="","",J556/60)</f>
      </c>
      <c r="L556" s="5">
        <f>IF(J556="","",(H556-J556)/60)</f>
      </c>
      <c r="M556" s="5">
        <f>IF(I556="Y",K556,0)</f>
      </c>
      <c r="N556" s="3">
        <f>IF(I556="Y",MAX(0,N(F556)),0)</f>
      </c>
      <c r="O556" s="5">
        <f>IF(M556&gt;0,N556/M556,"")</f>
      </c>
    </row>
    <row r="557" spans="1:15" x14ac:dyDescent="0.25">
      <c r="A557" s="2">
        <v>46326</v>
      </c>
      <c r="B557" s="10">
        <v>0.2708333333333333</v>
      </c>
      <c r="C557" s="10">
        <v>0.2916666666666667</v>
      </c>
      <c r="D557" s="11"/>
      <c r="E557" s="11"/>
      <c r="F557" s="11"/>
      <c r="G557" s="11"/>
      <c r="H557" s="11">
        <v>30</v>
      </c>
      <c r="I557" s="3">
        <f>IF(D557="","",IFERROR(VLOOKUP(D557,Setup!$A$2:$B$60,2,FALSE),""))</f>
      </c>
      <c r="J557" s="7">
        <f>IF(I557="","",MIN(MAX(0,IF(G557="",H557,G557)),H557))</f>
      </c>
      <c r="K557" s="5">
        <f>IF(J557="","",J557/60)</f>
      </c>
      <c r="L557" s="5">
        <f>IF(J557="","",(H557-J557)/60)</f>
      </c>
      <c r="M557" s="5">
        <f>IF(I557="Y",K557,0)</f>
      </c>
      <c r="N557" s="3">
        <f>IF(I557="Y",MAX(0,N(F557)),0)</f>
      </c>
      <c r="O557" s="5">
        <f>IF(M557&gt;0,N557/M557,"")</f>
      </c>
    </row>
    <row r="558" spans="1:15" x14ac:dyDescent="0.25">
      <c r="A558" s="2">
        <v>46326</v>
      </c>
      <c r="B558" s="10">
        <v>0.2916666666666667</v>
      </c>
      <c r="C558" s="10">
        <v>0.3125</v>
      </c>
      <c r="D558" s="11"/>
      <c r="E558" s="11"/>
      <c r="F558" s="11"/>
      <c r="G558" s="11"/>
      <c r="H558" s="11">
        <v>30</v>
      </c>
      <c r="I558" s="3">
        <f>IF(D558="","",IFERROR(VLOOKUP(D558,Setup!$A$2:$B$60,2,FALSE),""))</f>
      </c>
      <c r="J558" s="7">
        <f>IF(I558="","",MIN(MAX(0,IF(G558="",H558,G558)),H558))</f>
      </c>
      <c r="K558" s="5">
        <f>IF(J558="","",J558/60)</f>
      </c>
      <c r="L558" s="5">
        <f>IF(J558="","",(H558-J558)/60)</f>
      </c>
      <c r="M558" s="5">
        <f>IF(I558="Y",K558,0)</f>
      </c>
      <c r="N558" s="3">
        <f>IF(I558="Y",MAX(0,N(F558)),0)</f>
      </c>
      <c r="O558" s="5">
        <f>IF(M558&gt;0,N558/M558,"")</f>
      </c>
    </row>
    <row r="559" spans="1:15" x14ac:dyDescent="0.25">
      <c r="A559" s="2">
        <v>46326</v>
      </c>
      <c r="B559" s="10">
        <v>0.3125</v>
      </c>
      <c r="C559" s="10">
        <v>0.3333333333333333</v>
      </c>
      <c r="D559" s="11"/>
      <c r="E559" s="11"/>
      <c r="F559" s="11"/>
      <c r="G559" s="11"/>
      <c r="H559" s="11">
        <v>30</v>
      </c>
      <c r="I559" s="3">
        <f>IF(D559="","",IFERROR(VLOOKUP(D559,Setup!$A$2:$B$60,2,FALSE),""))</f>
      </c>
      <c r="J559" s="7">
        <f>IF(I559="","",MIN(MAX(0,IF(G559="",H559,G559)),H559))</f>
      </c>
      <c r="K559" s="5">
        <f>IF(J559="","",J559/60)</f>
      </c>
      <c r="L559" s="5">
        <f>IF(J559="","",(H559-J559)/60)</f>
      </c>
      <c r="M559" s="5">
        <f>IF(I559="Y",K559,0)</f>
      </c>
      <c r="N559" s="3">
        <f>IF(I559="Y",MAX(0,N(F559)),0)</f>
      </c>
      <c r="O559" s="5">
        <f>IF(M559&gt;0,N559/M559,"")</f>
      </c>
    </row>
  </sheetData>
  <autoFilter ref="A1:O559"/>
  <dataValidations count="4">
    <dataValidation type="list" allowBlank="1" sqref="D10:D559">
      <formula1>Setup!$A$2:$A$60</formula1>
    </dataValidation>
    <dataValidation type="list" allowBlank="1" sqref="D2:D559">
      <formula1>Setup!$A$2:$A$60</formula1>
    </dataValidation>
    <dataValidation type="list" allowBlank="1" sqref="E10:E559">
      <formula1>Setup!$D$2:$D$60</formula1>
    </dataValidation>
    <dataValidation type="list" allowBlank="1" sqref="E2:E559">
      <formula1>Setup!$D$2:$D$60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3" customWidth="1"/>
    <col min="4" max="4" width="24" customWidth="1"/>
    <col min="5" max="5" width="12" customWidth="1"/>
    <col min="6" max="6" width="3" customWidth="1"/>
    <col min="7" max="7" width="80" customWidth="1"/>
  </cols>
  <sheetData>
    <row r="1" spans="1:7" x14ac:dyDescent="0.25">
      <c r="A1" s="9" t="s">
        <v>18</v>
      </c>
      <c r="B1" s="9" t="s">
        <v>38</v>
      </c>
      <c r="C1" s="9"/>
      <c r="D1" s="9" t="s">
        <v>10</v>
      </c>
      <c r="E1" s="9" t="s">
        <v>39</v>
      </c>
      <c r="G1" s="1" t="s">
        <v>40</v>
      </c>
    </row>
    <row r="2" spans="1:7" x14ac:dyDescent="0.25">
      <c r="A2" s="11" t="s">
        <v>36</v>
      </c>
      <c r="B2" s="11" t="s">
        <v>41</v>
      </c>
      <c r="D2" s="11" t="s">
        <v>36</v>
      </c>
      <c r="E2" s="11">
        <v>200</v>
      </c>
      <c r="G2" s="3" t="s">
        <v>42</v>
      </c>
    </row>
    <row r="3" spans="1:7" x14ac:dyDescent="0.25">
      <c r="A3" s="11" t="s">
        <v>37</v>
      </c>
      <c r="B3" s="11" t="s">
        <v>41</v>
      </c>
      <c r="D3" s="11" t="s">
        <v>37</v>
      </c>
      <c r="E3" s="11">
        <v>3000</v>
      </c>
      <c r="G3" s="3" t="s">
        <v>43</v>
      </c>
    </row>
    <row r="4" spans="1:7" x14ac:dyDescent="0.25">
      <c r="A4" s="11" t="s">
        <v>44</v>
      </c>
      <c r="B4" s="11" t="s">
        <v>45</v>
      </c>
      <c r="D4" s="11"/>
      <c r="E4" s="11"/>
      <c r="G4" s="3" t="s">
        <v>46</v>
      </c>
    </row>
    <row r="5" spans="1:7" x14ac:dyDescent="0.25">
      <c r="A5" s="11" t="s">
        <v>47</v>
      </c>
      <c r="B5" s="11" t="s">
        <v>45</v>
      </c>
      <c r="D5" s="11"/>
      <c r="E5" s="11"/>
      <c r="G5" s="3" t="s">
        <v>48</v>
      </c>
    </row>
    <row r="6" spans="1:7" x14ac:dyDescent="0.25">
      <c r="A6" s="11" t="s">
        <v>49</v>
      </c>
      <c r="B6" s="11" t="s">
        <v>45</v>
      </c>
      <c r="D6" s="11"/>
      <c r="E6" s="11"/>
      <c r="G6" s="3" t="s">
        <v>50</v>
      </c>
    </row>
    <row r="7" spans="1:7" x14ac:dyDescent="0.25">
      <c r="A7" s="11"/>
      <c r="B7" s="11"/>
      <c r="D7" s="11"/>
      <c r="E7" s="11"/>
      <c r="G7" s="3" t="s">
        <v>51</v>
      </c>
    </row>
    <row r="8" spans="1:5" x14ac:dyDescent="0.25">
      <c r="A8" s="11"/>
      <c r="B8" s="11"/>
      <c r="D8" s="11"/>
      <c r="E8" s="11"/>
    </row>
    <row r="9" spans="1:5" x14ac:dyDescent="0.25">
      <c r="A9" s="11"/>
      <c r="B9" s="11"/>
      <c r="D9" s="11"/>
      <c r="E9" s="11"/>
    </row>
    <row r="10" spans="1:5" x14ac:dyDescent="0.25">
      <c r="A10" s="11"/>
      <c r="B10" s="11"/>
      <c r="D10" s="11"/>
      <c r="E10" s="11"/>
    </row>
    <row r="11" spans="1:5" x14ac:dyDescent="0.25">
      <c r="A11" s="11"/>
      <c r="B11" s="11"/>
      <c r="D11" s="11"/>
      <c r="E11" s="11"/>
    </row>
    <row r="12" spans="1:5" x14ac:dyDescent="0.25">
      <c r="A12" s="11"/>
      <c r="B12" s="11"/>
      <c r="D12" s="11"/>
      <c r="E12" s="11"/>
    </row>
    <row r="13" spans="1:5" x14ac:dyDescent="0.25">
      <c r="A13" s="11"/>
      <c r="B13" s="11"/>
      <c r="D13" s="11"/>
      <c r="E13" s="11"/>
    </row>
    <row r="14" spans="1:5" x14ac:dyDescent="0.25">
      <c r="A14" s="11"/>
      <c r="B14" s="11"/>
      <c r="D14" s="11"/>
      <c r="E14" s="11"/>
    </row>
    <row r="15" spans="1:5" x14ac:dyDescent="0.25">
      <c r="A15" s="11"/>
      <c r="B15" s="11"/>
      <c r="D15" s="11"/>
      <c r="E15" s="11"/>
    </row>
    <row r="16" spans="1:5" x14ac:dyDescent="0.25">
      <c r="A16" s="11"/>
      <c r="B16" s="11"/>
      <c r="D16" s="11"/>
      <c r="E16" s="11"/>
    </row>
    <row r="17" spans="1:5" x14ac:dyDescent="0.25">
      <c r="A17" s="11"/>
      <c r="B17" s="11"/>
      <c r="D17" s="11"/>
      <c r="E17" s="11"/>
    </row>
    <row r="18" spans="1:5" x14ac:dyDescent="0.25">
      <c r="A18" s="11"/>
      <c r="B18" s="11"/>
      <c r="D18" s="11"/>
      <c r="E18" s="11"/>
    </row>
    <row r="19" spans="1:5" x14ac:dyDescent="0.25">
      <c r="A19" s="11"/>
      <c r="B19" s="11"/>
      <c r="D19" s="11"/>
      <c r="E19" s="11"/>
    </row>
    <row r="20" spans="1:5" x14ac:dyDescent="0.25">
      <c r="A20" s="11"/>
      <c r="B20" s="11"/>
      <c r="D20" s="11"/>
      <c r="E20" s="11"/>
    </row>
    <row r="21" spans="1:5" x14ac:dyDescent="0.25">
      <c r="A21" s="11"/>
      <c r="B21" s="11"/>
      <c r="D21" s="11"/>
      <c r="E21" s="11"/>
    </row>
    <row r="22" spans="1:5" x14ac:dyDescent="0.25">
      <c r="A22" s="11"/>
      <c r="B22" s="11"/>
      <c r="D22" s="11"/>
      <c r="E22" s="11"/>
    </row>
    <row r="23" spans="1:5" x14ac:dyDescent="0.25">
      <c r="A23" s="11"/>
      <c r="B23" s="11"/>
      <c r="D23" s="11"/>
      <c r="E23" s="11"/>
    </row>
    <row r="24" spans="1:5" x14ac:dyDescent="0.25">
      <c r="A24" s="11"/>
      <c r="B24" s="11"/>
      <c r="D24" s="11"/>
      <c r="E24" s="11"/>
    </row>
    <row r="25" spans="1:5" x14ac:dyDescent="0.25">
      <c r="A25" s="11"/>
      <c r="B25" s="11"/>
      <c r="D25" s="11"/>
      <c r="E25" s="11"/>
    </row>
    <row r="26" spans="1:5" x14ac:dyDescent="0.25">
      <c r="A26" s="11"/>
      <c r="B26" s="11"/>
      <c r="D26" s="11"/>
      <c r="E26" s="11"/>
    </row>
    <row r="27" spans="1:5" x14ac:dyDescent="0.25">
      <c r="A27" s="11"/>
      <c r="B27" s="11"/>
      <c r="D27" s="11"/>
      <c r="E27" s="11"/>
    </row>
    <row r="28" spans="1:5" x14ac:dyDescent="0.25">
      <c r="A28" s="11"/>
      <c r="B28" s="11"/>
      <c r="D28" s="11"/>
      <c r="E28" s="11"/>
    </row>
    <row r="29" spans="1:5" x14ac:dyDescent="0.25">
      <c r="A29" s="11"/>
      <c r="B29" s="11"/>
      <c r="D29" s="11"/>
      <c r="E29" s="11"/>
    </row>
    <row r="30" spans="1:5" x14ac:dyDescent="0.25">
      <c r="A30" s="11"/>
      <c r="B30" s="11"/>
      <c r="D30" s="11"/>
      <c r="E30" s="11"/>
    </row>
    <row r="31" spans="1:5" x14ac:dyDescent="0.25">
      <c r="A31" s="11"/>
      <c r="B31" s="11"/>
      <c r="D31" s="11"/>
      <c r="E31" s="11"/>
    </row>
    <row r="32" spans="1:5" x14ac:dyDescent="0.25">
      <c r="A32" s="11"/>
      <c r="B32" s="11"/>
      <c r="D32" s="11"/>
      <c r="E32" s="11"/>
    </row>
    <row r="33" spans="1:5" x14ac:dyDescent="0.25">
      <c r="A33" s="11"/>
      <c r="B33" s="11"/>
      <c r="D33" s="11"/>
      <c r="E33" s="11"/>
    </row>
    <row r="34" spans="1:5" x14ac:dyDescent="0.25">
      <c r="A34" s="11"/>
      <c r="B34" s="11"/>
      <c r="D34" s="11"/>
      <c r="E34" s="11"/>
    </row>
    <row r="35" spans="1:5" x14ac:dyDescent="0.25">
      <c r="A35" s="11"/>
      <c r="B35" s="11"/>
      <c r="D35" s="11"/>
      <c r="E35" s="11"/>
    </row>
    <row r="36" spans="1:5" x14ac:dyDescent="0.25">
      <c r="A36" s="11"/>
      <c r="B36" s="11"/>
      <c r="D36" s="11"/>
      <c r="E36" s="11"/>
    </row>
    <row r="37" spans="1:5" x14ac:dyDescent="0.25">
      <c r="A37" s="11"/>
      <c r="B37" s="11"/>
      <c r="D37" s="11"/>
      <c r="E37" s="11"/>
    </row>
    <row r="38" spans="1:5" x14ac:dyDescent="0.25">
      <c r="A38" s="11"/>
      <c r="B38" s="11"/>
      <c r="D38" s="11"/>
      <c r="E38" s="11"/>
    </row>
    <row r="39" spans="1:5" x14ac:dyDescent="0.25">
      <c r="A39" s="11"/>
      <c r="B39" s="11"/>
      <c r="D39" s="11"/>
      <c r="E39" s="11"/>
    </row>
    <row r="40" spans="1:5" x14ac:dyDescent="0.25">
      <c r="A40" s="11"/>
      <c r="B40" s="11"/>
      <c r="D40" s="11"/>
      <c r="E40" s="11"/>
    </row>
    <row r="41" spans="1:5" x14ac:dyDescent="0.25">
      <c r="A41" s="11"/>
      <c r="B41" s="11"/>
      <c r="D41" s="11"/>
      <c r="E41" s="11"/>
    </row>
    <row r="42" spans="1:5" x14ac:dyDescent="0.25">
      <c r="A42" s="11"/>
      <c r="B42" s="11"/>
      <c r="D42" s="11"/>
      <c r="E42" s="11"/>
    </row>
    <row r="43" spans="1:5" x14ac:dyDescent="0.25">
      <c r="A43" s="11"/>
      <c r="B43" s="11"/>
      <c r="D43" s="11"/>
      <c r="E43" s="11"/>
    </row>
    <row r="44" spans="1:5" x14ac:dyDescent="0.25">
      <c r="A44" s="11"/>
      <c r="B44" s="11"/>
      <c r="D44" s="11"/>
      <c r="E44" s="11"/>
    </row>
    <row r="45" spans="1:5" x14ac:dyDescent="0.25">
      <c r="A45" s="11"/>
      <c r="B45" s="11"/>
      <c r="D45" s="11"/>
      <c r="E45" s="11"/>
    </row>
    <row r="46" spans="1:5" x14ac:dyDescent="0.25">
      <c r="A46" s="11"/>
      <c r="B46" s="11"/>
      <c r="D46" s="11"/>
      <c r="E46" s="11"/>
    </row>
    <row r="47" spans="1:5" x14ac:dyDescent="0.25">
      <c r="A47" s="11"/>
      <c r="B47" s="11"/>
      <c r="D47" s="11"/>
      <c r="E47" s="11"/>
    </row>
    <row r="48" spans="1:5" x14ac:dyDescent="0.25">
      <c r="A48" s="11"/>
      <c r="B48" s="11"/>
      <c r="D48" s="11"/>
      <c r="E48" s="11"/>
    </row>
    <row r="49" spans="1:5" x14ac:dyDescent="0.25">
      <c r="A49" s="11"/>
      <c r="B49" s="11"/>
      <c r="D49" s="11"/>
      <c r="E49" s="11"/>
    </row>
    <row r="50" spans="1:5" x14ac:dyDescent="0.25">
      <c r="A50" s="11"/>
      <c r="B50" s="11"/>
      <c r="D50" s="11"/>
      <c r="E50" s="11"/>
    </row>
    <row r="51" spans="1:5" x14ac:dyDescent="0.25">
      <c r="A51" s="11"/>
      <c r="B51" s="11"/>
      <c r="D51" s="11"/>
      <c r="E51" s="11"/>
    </row>
    <row r="52" spans="1:5" x14ac:dyDescent="0.25">
      <c r="A52" s="11"/>
      <c r="B52" s="11"/>
      <c r="D52" s="11"/>
      <c r="E52" s="11"/>
    </row>
    <row r="53" spans="1:5" x14ac:dyDescent="0.25">
      <c r="A53" s="11"/>
      <c r="B53" s="11"/>
      <c r="D53" s="11"/>
      <c r="E53" s="11"/>
    </row>
    <row r="54" spans="1:5" x14ac:dyDescent="0.25">
      <c r="A54" s="11"/>
      <c r="B54" s="11"/>
      <c r="D54" s="11"/>
      <c r="E54" s="11"/>
    </row>
    <row r="55" spans="1:5" x14ac:dyDescent="0.25">
      <c r="A55" s="11"/>
      <c r="B55" s="11"/>
      <c r="D55" s="11"/>
      <c r="E55" s="11"/>
    </row>
    <row r="56" spans="1:5" x14ac:dyDescent="0.25">
      <c r="A56" s="11"/>
      <c r="B56" s="11"/>
      <c r="D56" s="11"/>
      <c r="E56" s="11"/>
    </row>
    <row r="57" spans="1:5" x14ac:dyDescent="0.25">
      <c r="A57" s="11"/>
      <c r="B57" s="11"/>
      <c r="D57" s="11"/>
      <c r="E57" s="11"/>
    </row>
    <row r="58" spans="1:5" x14ac:dyDescent="0.25">
      <c r="A58" s="11"/>
      <c r="B58" s="11"/>
      <c r="D58" s="11"/>
      <c r="E58" s="11"/>
    </row>
    <row r="59" spans="1:5" x14ac:dyDescent="0.25">
      <c r="A59" s="11"/>
      <c r="B59" s="11"/>
      <c r="D59" s="11"/>
      <c r="E59" s="11"/>
    </row>
    <row r="60" spans="1:5" x14ac:dyDescent="0.25">
      <c r="A60" s="11"/>
      <c r="B60" s="11"/>
      <c r="D60" s="11"/>
      <c r="E60" s="11"/>
    </row>
  </sheetData>
  <dataValidations count="2">
    <dataValidation type="list" allowBlank="1" sqref="B10:B60">
      <formula1>"Y,N"</formula1>
    </dataValidation>
    <dataValidation type="list" allowBlank="1" sqref="B2:B6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</vt:lpstr>
      <vt:lpstr>Slots</vt:lpstr>
      <vt:lpstr>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2026-10-28T13:52:23Z</dcterms:created>
  <dcterms:modified xsi:type="dcterms:W3CDTF">2026-10-28T13:52:23Z</dcterms:modified>
</cp:coreProperties>
</file>