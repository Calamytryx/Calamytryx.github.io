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aily" state="visible" r:id="rId5"/>
    <sheet sheetId="3" name="Setup" state="visible" r:id="rId6"/>
  </sheets>
  <calcPr calcId="171027" fullCalcOnLoad="1"/>
</workbook>
</file>

<file path=xl/sharedStrings.xml><?xml version="1.0" encoding="utf-8"?>
<sst xmlns="http://schemas.openxmlformats.org/spreadsheetml/2006/main" count="944" uniqueCount="61">
  <si>
    <r>
      <rPr>
        <b/>
        <color rgb="FFFFFFFF"/>
        <sz val="18"/>
        <rFont val="Consolas"/>
      </rPr>
      <t>shift</t>
    </r>
    <r>
      <rPr>
        <b/>
        <color rgb="FFFF8181"/>
        <sz val="18"/>
        <rFont val="Consolas"/>
      </rPr>
      <t>.</t>
    </r>
    <r>
      <rPr>
        <b/>
        <color rgb="FFFFFFFF"/>
        <sz val="18"/>
        <rFont val="Consolas"/>
      </rPr>
      <t>mk</t>
    </r>
    <r>
      <rPr>
        <color rgb="FF808080"/>
        <sz val="10"/>
        <rFont val="Consolas"/>
      </rPr>
      <t xml:space="preserve">  / productivity</t>
    </r>
  </si>
  <si>
    <t>TICKETS PER HOUR  ·  QUOTAS  ·  SET FROM / TO TO REPORT ANY DAY, WEEK OR MONTH</t>
  </si>
  <si>
    <t>FROM</t>
  </si>
  <si>
    <t>TO</t>
  </si>
  <si>
    <t>TICKETS</t>
  </si>
  <si>
    <t>PRODUCTIVE HRS</t>
  </si>
  <si>
    <t>TICKETS / HR</t>
  </si>
  <si>
    <t>LOGGED HRS</t>
  </si>
  <si>
    <t>DEDUCTED HRS</t>
  </si>
  <si>
    <t>SHIFT HRS</t>
  </si>
  <si>
    <t>tickets / hr = tickets ÷ productive hours, after deductions. Ranges sum the daily totals, so it is weighted by hours.</t>
  </si>
  <si>
    <t>TASKS VS QUOTA  (PRODUCTIVE TAGS)</t>
  </si>
  <si>
    <t>TASK</t>
  </si>
  <si>
    <t>HOURS</t>
  </si>
  <si>
    <t>T / HR</t>
  </si>
  <si>
    <t>QUOTA / H</t>
  </si>
  <si>
    <t>EXPECTED</t>
  </si>
  <si>
    <t>ATTAINMENT</t>
  </si>
  <si>
    <t>TIME BY TAG</t>
  </si>
  <si>
    <t>TAG</t>
  </si>
  <si>
    <t>% OF LOGGED</t>
  </si>
  <si>
    <t>shift 23:00 → 08:00   ·   9.00 h   ·   18 intervals</t>
  </si>
  <si>
    <t>SLOT</t>
  </si>
  <si>
    <t>MINS</t>
  </si>
  <si>
    <t>DEDUCTED</t>
  </si>
  <si>
    <t>PROD HRS</t>
  </si>
  <si>
    <t>23:00–23:30</t>
  </si>
  <si>
    <t>23:30–00:00</t>
  </si>
  <si>
    <t>00:00–00:30</t>
  </si>
  <si>
    <t>00:30–01:00</t>
  </si>
  <si>
    <t>01:00–01:30</t>
  </si>
  <si>
    <t>01:30–02:00</t>
  </si>
  <si>
    <t>02:00–02:30</t>
  </si>
  <si>
    <t>02:30–03:00</t>
  </si>
  <si>
    <t>03:00–03:30</t>
  </si>
  <si>
    <t>03:30–04:00</t>
  </si>
  <si>
    <t>04:00–04:30</t>
  </si>
  <si>
    <t>04:30–05:00</t>
  </si>
  <si>
    <t>05:00–05:30</t>
  </si>
  <si>
    <t>05:30–06:00</t>
  </si>
  <si>
    <t>06:00–06:30</t>
  </si>
  <si>
    <t>06:30–07:00</t>
  </si>
  <si>
    <t>07:00–07:30</t>
  </si>
  <si>
    <t>07:30–08:00</t>
  </si>
  <si>
    <t>TOTAL</t>
  </si>
  <si>
    <t>SV</t>
  </si>
  <si>
    <t>CM</t>
  </si>
  <si>
    <t>PRODUCTIVE (Y/N)</t>
  </si>
  <si>
    <t>QUOTA / HR</t>
  </si>
  <si>
    <t>HOW THIS WORKBOOK WORKS</t>
  </si>
  <si>
    <t>Y</t>
  </si>
  <si>
    <t>Accent headers are inputs you type into. Dim headers are formulas — leave them alone.</t>
  </si>
  <si>
    <t>Setup: mark a tag Y to make it a task. It counts toward tickets/hr and can carry a quota per hour.</t>
  </si>
  <si>
    <t>New tag 1</t>
  </si>
  <si>
    <t>N</t>
  </si>
  <si>
    <t>Daily: one interval table per day. Pick a tag from the dropdown on each row, then type tickets and MINUTES WORKED.</t>
  </si>
  <si>
    <t>New tag 2</t>
  </si>
  <si>
    <t>Leave minutes blank for the full interval. HOURS, DEDUCTED, PROD HRS, TICKETS and T/HR are formulas.</t>
  </si>
  <si>
    <t>New tag 3</t>
  </si>
  <si>
    <t>Each day closes with its own TOTAL row. Summary reads whatever falls between its FROM / TO from Daily.</t>
  </si>
  <si>
    <t>New tags go in the blank rows under the tag list on this sheet. To log more days, re-export with a wider range.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</si>
</sst>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-mm-dd"/>
    <numFmt numFmtId="165" formatCode="0.##"/>
    <numFmt numFmtId="166" formatCode="ddd, mmm d, yyyy"/>
  </numFmts>
  <fonts count="15" x14ac:knownFonts="1">
    <font>
      <color theme="1"/>
      <family val="2"/>
      <scheme val="minor"/>
      <sz val="11"/>
      <name val="Calibri"/>
    </font>
    <font>
      <color rgb="FFFFFFFF"/>
      <sz val="10"/>
      <name val="Consolas"/>
    </font>
    <font>
      <color rgb="FF808080"/>
      <sz val="8"/>
      <name val="Consolas"/>
    </font>
    <font>
      <b/>
      <color rgb="FF808080"/>
      <sz val="9"/>
      <name val="Consolas"/>
    </font>
    <font>
      <b/>
      <color rgb="FFFF8181"/>
      <sz val="10"/>
      <name val="Consolas"/>
    </font>
    <font>
      <b/>
      <color rgb="FF808080"/>
      <sz val="8"/>
      <name val="Consolas"/>
    </font>
    <font>
      <b/>
      <color rgb="FFFFFFFF"/>
      <sz val="20"/>
      <name val="Consolas"/>
    </font>
    <font>
      <b/>
      <color rgb="FFFF8181"/>
      <sz val="20"/>
      <name val="Consolas"/>
    </font>
    <font>
      <b/>
      <color rgb="FFFF8181"/>
      <sz val="9"/>
      <name val="Consolas"/>
    </font>
    <font>
      <b/>
      <color rgb="FFFF8181"/>
      <sz val="12"/>
      <name val="Consolas"/>
    </font>
    <font>
      <color rgb="FF808080"/>
      <sz val="9"/>
      <name val="Consolas"/>
    </font>
    <font>
      <b/>
      <color rgb="FFFF8181"/>
      <sz val="8"/>
      <name val="Consolas"/>
    </font>
    <font>
      <color rgb="FFFFFFFF"/>
      <sz val="9"/>
      <name val="Consolas"/>
    </font>
    <font>
      <b/>
      <color rgb="FFFFFFFF"/>
      <sz val="9"/>
      <name val="Consolas"/>
    </font>
    <font>
      <color rgb="FF808080"/>
      <sz val="10"/>
      <name val="Consolas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121212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8181"/>
      </bottom>
      <diagonal/>
    </border>
    <border>
      <left style="thin">
        <color rgb="FFFF8181"/>
      </left>
      <right style="thin">
        <color rgb="FFFF8181"/>
      </right>
      <top style="thin">
        <color rgb="FFFF8181"/>
      </top>
      <bottom style="thin">
        <color rgb="FFFF8181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/>
      <diagonal/>
    </border>
    <border>
      <left style="thin">
        <color rgb="FF333333"/>
      </left>
      <right style="thin">
        <color rgb="FF333333"/>
      </right>
      <top/>
      <bottom style="medium">
        <color rgb="FFFF8181"/>
      </bottom>
      <diagonal/>
    </border>
    <border>
      <left/>
      <right/>
      <top style="thin">
        <color rgb="FF333333"/>
      </top>
      <bottom/>
      <diagonal/>
    </border>
    <border>
      <left/>
      <right/>
      <top/>
      <bottom style="thin">
        <color rgb="FFFF8181"/>
      </bottom>
      <diagonal/>
    </border>
    <border>
      <left/>
      <right/>
      <top/>
      <bottom style="thin">
        <color rgb="FF333333"/>
      </bottom>
      <diagonal/>
    </border>
    <border>
      <left/>
      <right/>
      <top style="thin">
        <color rgb="FFFF8181"/>
      </top>
      <bottom style="thin">
        <color rgb="FF333333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indent="1"/>
    </xf>
    <xf numFmtId="0" fontId="2" fillId="2" borderId="0" xfId="0" applyFont="1" applyFill="1" applyAlignment="1">
      <alignment vertical="center" indent="1"/>
    </xf>
    <xf numFmtId="0" fontId="3" fillId="2" borderId="0" xfId="0" applyFont="1" applyFill="1" applyAlignment="1">
      <alignment vertical="center" indent="1"/>
    </xf>
    <xf numFmtId="164" fontId="4" fillId="3" borderId="2" xfId="0" applyNumberFormat="1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2" fontId="6" fillId="2" borderId="4" xfId="0" applyNumberFormat="1" applyFont="1" applyFill="1" applyBorder="1" applyAlignment="1">
      <alignment horizontal="center" vertical="center"/>
    </xf>
    <xf numFmtId="2" fontId="7" fillId="2" borderId="4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indent="1"/>
    </xf>
    <xf numFmtId="0" fontId="8" fillId="2" borderId="5" xfId="0" applyFont="1" applyFill="1" applyBorder="1" applyAlignment="1">
      <alignment vertical="bottom" indent="1"/>
    </xf>
    <xf numFmtId="0" fontId="1" fillId="2" borderId="5" xfId="0" applyFont="1" applyFill="1" applyBorder="1"/>
    <xf numFmtId="0" fontId="8" fillId="2" borderId="1" xfId="0" applyFont="1" applyFill="1" applyBorder="1" applyAlignment="1">
      <alignment horizontal="left" vertical="center" indent="1"/>
    </xf>
    <xf numFmtId="0" fontId="8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indent="1"/>
    </xf>
    <xf numFmtId="1" fontId="1" fillId="2" borderId="0" xfId="0" applyNumberFormat="1" applyFont="1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2" fontId="4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9" fontId="1" fillId="2" borderId="0" xfId="0" applyNumberFormat="1" applyFont="1" applyFill="1" applyAlignment="1">
      <alignment horizontal="center"/>
    </xf>
    <xf numFmtId="166" fontId="9" fillId="2" borderId="1" xfId="0" applyNumberFormat="1" applyFont="1" applyFill="1" applyBorder="1" applyAlignment="1">
      <alignment vertical="center" indent="1"/>
    </xf>
    <xf numFmtId="0" fontId="10" fillId="2" borderId="1" xfId="0" applyFont="1" applyFill="1" applyBorder="1" applyAlignment="1">
      <alignment horizontal="right" vertical="center" indent="1"/>
    </xf>
    <xf numFmtId="0" fontId="11" fillId="2" borderId="6" xfId="0" applyFont="1" applyFill="1" applyBorder="1" applyAlignment="1">
      <alignment horizontal="left" vertical="center" indent="1"/>
    </xf>
    <xf numFmtId="0" fontId="11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vertical="center"/>
    </xf>
    <xf numFmtId="0" fontId="10" fillId="3" borderId="7" xfId="0" applyFont="1" applyFill="1" applyBorder="1" applyAlignment="1">
      <alignment vertical="center" indent="1"/>
    </xf>
    <xf numFmtId="0" fontId="12" fillId="3" borderId="7" xfId="0" applyFont="1" applyFill="1" applyBorder="1" applyAlignment="1">
      <alignment vertical="center" indent="1"/>
    </xf>
    <xf numFmtId="1" fontId="12" fillId="3" borderId="7" xfId="0" applyNumberFormat="1" applyFont="1" applyFill="1" applyBorder="1" applyAlignment="1">
      <alignment horizontal="center" vertical="center"/>
    </xf>
    <xf numFmtId="2" fontId="10" fillId="3" borderId="7" xfId="0" applyNumberFormat="1" applyFont="1" applyFill="1" applyBorder="1" applyAlignment="1">
      <alignment horizontal="center" vertical="center"/>
    </xf>
    <xf numFmtId="1" fontId="10" fillId="3" borderId="7" xfId="0" applyNumberFormat="1" applyFont="1" applyFill="1" applyBorder="1" applyAlignment="1">
      <alignment horizontal="center" vertical="center"/>
    </xf>
    <xf numFmtId="2" fontId="1" fillId="2" borderId="0" xfId="0" applyNumberFormat="1" applyFont="1" applyFill="1"/>
    <xf numFmtId="164" fontId="2" fillId="2" borderId="7" xfId="0" applyNumberFormat="1" applyFont="1" applyFill="1" applyBorder="1" applyAlignment="1">
      <alignment vertical="center"/>
    </xf>
    <xf numFmtId="0" fontId="10" fillId="2" borderId="7" xfId="0" applyFont="1" applyFill="1" applyBorder="1" applyAlignment="1">
      <alignment vertical="center" indent="1"/>
    </xf>
    <xf numFmtId="0" fontId="12" fillId="2" borderId="7" xfId="0" applyFont="1" applyFill="1" applyBorder="1" applyAlignment="1">
      <alignment vertical="center" indent="1"/>
    </xf>
    <xf numFmtId="1" fontId="12" fillId="2" borderId="7" xfId="0" applyNumberFormat="1" applyFont="1" applyFill="1" applyBorder="1" applyAlignment="1">
      <alignment horizontal="center" vertical="center"/>
    </xf>
    <xf numFmtId="2" fontId="10" fillId="2" borderId="7" xfId="0" applyNumberFormat="1" applyFont="1" applyFill="1" applyBorder="1" applyAlignment="1">
      <alignment horizontal="center" vertical="center"/>
    </xf>
    <xf numFmtId="1" fontId="10" fillId="2" borderId="7" xfId="0" applyNumberFormat="1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left" vertical="center" indent="1"/>
    </xf>
    <xf numFmtId="0" fontId="13" fillId="2" borderId="8" xfId="0" applyFont="1" applyFill="1" applyBorder="1" applyAlignment="1">
      <alignment horizontal="center" vertical="center"/>
    </xf>
    <xf numFmtId="1" fontId="13" fillId="2" borderId="8" xfId="0" applyNumberFormat="1" applyFont="1" applyFill="1" applyBorder="1" applyAlignment="1">
      <alignment horizontal="center" vertical="center"/>
    </xf>
    <xf numFmtId="2" fontId="13" fillId="2" borderId="8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 wrapText="1" inden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vertical="center" wrapText="1"/>
    </xf>
    <xf numFmtId="0" fontId="1" fillId="2" borderId="7" xfId="0" applyFont="1" applyFill="1" applyBorder="1" applyAlignment="1">
      <alignment horizontal="left" vertical="center" indent="1"/>
    </xf>
    <xf numFmtId="0" fontId="1" fillId="2" borderId="7" xfId="0" applyFont="1" applyFill="1" applyBorder="1" applyAlignment="1">
      <alignment horizontal="center" vertical="center"/>
    </xf>
    <xf numFmtId="165" fontId="1" fillId="2" borderId="7" xfId="0" applyNumberFormat="1" applyFont="1" applyFill="1" applyBorder="1" applyAlignment="1">
      <alignment horizontal="center" vertical="center"/>
    </xf>
    <xf numFmtId="0" fontId="14" fillId="2" borderId="0" xfId="0" applyFont="1" applyFill="1" applyAlignment="1">
      <alignment vertical="center" wrapText="1"/>
    </xf>
    <xf numFmtId="0" fontId="1" fillId="3" borderId="7" xfId="0" applyFont="1" applyFill="1" applyBorder="1" applyAlignment="1">
      <alignment horizontal="left" vertical="center" indent="1"/>
    </xf>
    <xf numFmtId="0" fontId="1" fillId="3" borderId="7" xfId="0" applyFont="1" applyFill="1" applyBorder="1" applyAlignment="1">
      <alignment horizontal="center" vertical="center"/>
    </xf>
    <xf numFmtId="165" fontId="1" fillId="3" borderId="7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 patternType="solid">
          <bgColor rgb="FF121212"/>
        </patternFill>
      </fill>
      <border>
        <left/>
        <right/>
        <top/>
        <bottom style="thin">
          <color rgb="FF333333"/>
        </bottom>
        <diagonal/>
      </border>
    </dxf>
    <dxf>
      <fill>
        <patternFill patternType="solid">
          <bgColor rgb="FF000000"/>
        </patternFill>
      </fill>
      <border>
        <left/>
        <right/>
        <top/>
        <bottom style="thin">
          <color rgb="FF333333"/>
        </bottom>
        <diagonal/>
      </border>
    </dxf>
    <dxf>
      <font>
        <b/>
        <color rgb="FF34D399"/>
      </font>
    </dxf>
    <dxf>
      <font>
        <b/>
        <color rgb="FFF87171"/>
      </font>
    </dxf>
    <dxf>
      <fill>
        <patternFill patternType="solid">
          <bgColor rgb="FF121212"/>
        </patternFill>
      </fill>
      <border>
        <left/>
        <right/>
        <top/>
        <bottom style="thin">
          <color rgb="FF333333"/>
        </bottom>
        <diagonal/>
      </border>
    </dxf>
    <dxf>
      <fill>
        <patternFill patternType="solid">
          <bgColor rgb="FF000000"/>
        </patternFill>
      </fill>
      <border>
        <left/>
        <right/>
        <top/>
        <bottom style="thin">
          <color rgb="FF333333"/>
        </bottom>
        <diagonal/>
      </border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blSetup" displayName="tblSetup" ref="A1:C9" totalsRowShown="1" headerRowCount="1">
  <autoFilter ref="A1:C9">
    <filterColumn colId="0" hiddenButton="0"/>
    <filterColumn colId="1" hiddenButton="0"/>
    <filterColumn colId="2" hiddenButton="0"/>
  </autoFilter>
  <tableColumns count="3">
    <tableColumn id="1" name="TAG" totalsRowLabel="Total"/>
    <tableColumn id="2" name="PRODUCTIVE (Y/N)" totalsRowFunction="none"/>
    <tableColumn id="3" name="QUOTA / HR" totalsRowFunction="none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8181"/>
  </sheetPr>
  <dimension ref="A1:G30"/>
  <sheetViews>
    <sheetView workbookViewId="0" showGridLines="0"/>
  </sheetViews>
  <sheetFormatPr defaultRowHeight="15" outlineLevelRow="0" outlineLevelCol="0" x14ac:dyDescent="55"/>
  <cols>
    <col min="1" max="1" width="26" style="1" customWidth="1"/>
    <col min="2" max="7" width="16" style="1" customWidth="1"/>
    <col min="8" max="8" width="9" style="1" customWidth="1"/>
    <col min="9" max="9" width="9" style="1" customWidth="1"/>
    <col min="10" max="10" width="9" style="1" customWidth="1"/>
    <col min="11" max="11" width="9" style="1" customWidth="1"/>
    <col min="12" max="12" width="9" style="1" customWidth="1"/>
  </cols>
  <sheetData>
    <row r="1" ht="42" customHeight="1" spans="1:7" x14ac:dyDescent="0.25">
      <c r="A1" s="2" t="s">
        <v>0</v>
      </c>
      <c r="B1" s="2"/>
      <c r="C1" s="2"/>
      <c r="D1" s="2"/>
      <c r="E1" s="2"/>
      <c r="F1" s="2"/>
      <c r="G1" s="2"/>
    </row>
    <row r="2" ht="24" customHeight="1" spans="1:7" x14ac:dyDescent="0.25">
      <c r="A2" s="3" t="s">
        <v>1</v>
      </c>
      <c r="B2" s="3"/>
      <c r="C2" s="3"/>
      <c r="D2" s="3"/>
      <c r="E2" s="3"/>
      <c r="F2" s="3"/>
      <c r="G2" s="3"/>
    </row>
    <row r="3" spans="1:2" x14ac:dyDescent="0.25">
      <c r="A3" s="4" t="s">
        <v>2</v>
      </c>
      <c r="B3" s="5">
        <v>46296</v>
      </c>
    </row>
    <row r="4" spans="1:2" x14ac:dyDescent="0.25">
      <c r="A4" s="4" t="s">
        <v>3</v>
      </c>
      <c r="B4" s="5">
        <v>46326</v>
      </c>
    </row>
    <row r="6" ht="22" customHeight="1" spans="1:6" x14ac:dyDescent="0.25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</row>
    <row r="7" ht="40" customHeight="1" spans="1:6" x14ac:dyDescent="0.25">
      <c r="A7" s="7">
        <f>SUMIFS(Daily!$I:$I,Daily!$A:$A,"&gt;="&amp;$B$3,Daily!$A:$A,"&lt;="&amp;$B$4)</f>
      </c>
      <c r="B7" s="8">
        <f>SUMIFS(Daily!$H:$H,Daily!$A:$A,"&gt;="&amp;$B$3,Daily!$A:$A,"&lt;="&amp;$B$4)</f>
      </c>
      <c r="C7" s="9">
        <f>IF(B7&gt;0,A7/B7,0)</f>
      </c>
      <c r="D7" s="8">
        <f>SUMIFS(Daily!$F:$F,Daily!$A:$A,"&gt;="&amp;$B$3,Daily!$A:$A,"&lt;="&amp;$B$4)</f>
      </c>
      <c r="E7" s="8">
        <f>SUMIFS(Daily!$G:$G,Daily!$A:$A,"&gt;="&amp;$B$3,Daily!$A:$A,"&lt;="&amp;$B$4)</f>
      </c>
      <c r="F7" s="8">
        <f>SUMIFS(Daily!$K:$K,Daily!$A:$A,"&gt;="&amp;$B$3,Daily!$A:$A,"&lt;="&amp;$B$4)</f>
      </c>
    </row>
    <row r="9" spans="1:7" x14ac:dyDescent="0.25">
      <c r="A9" s="10" t="s">
        <v>10</v>
      </c>
      <c r="B9" s="10"/>
      <c r="C9" s="10"/>
      <c r="D9" s="10"/>
      <c r="E9" s="10"/>
      <c r="F9" s="10"/>
      <c r="G9" s="10"/>
    </row>
    <row r="11" ht="28" customHeight="1" spans="1:7" x14ac:dyDescent="0.25">
      <c r="A11" s="11" t="s">
        <v>11</v>
      </c>
      <c r="B11" s="12"/>
      <c r="C11" s="12"/>
      <c r="D11" s="12"/>
      <c r="E11" s="12"/>
      <c r="F11" s="12"/>
      <c r="G11" s="12"/>
    </row>
    <row r="12" ht="24" customHeight="1" spans="1:7" x14ac:dyDescent="0.25">
      <c r="A12" s="13" t="s">
        <v>12</v>
      </c>
      <c r="B12" s="14" t="s">
        <v>4</v>
      </c>
      <c r="C12" s="14" t="s">
        <v>13</v>
      </c>
      <c r="D12" s="14" t="s">
        <v>14</v>
      </c>
      <c r="E12" s="14" t="s">
        <v>15</v>
      </c>
      <c r="F12" s="14" t="s">
        <v>16</v>
      </c>
      <c r="G12" s="14" t="s">
        <v>17</v>
      </c>
    </row>
    <row r="13" spans="1:7" x14ac:dyDescent="0.25">
      <c r="A13" s="15">
        <f>IF(AND(Setup!$A$2&lt;&gt;"",Setup!$B$2="Y"),Setup!$A$2,"")</f>
      </c>
      <c r="B13" s="16">
        <f>IF($A13="","",SUMIFS(Daily!$I:$I,Daily!$A:$A,"&gt;="&amp;$B$3,Daily!$A:$A,"&lt;="&amp;$B$4,Daily!$C:$C,$A13))</f>
      </c>
      <c r="C13" s="17">
        <f>IF($A13="","",SUMIFS(Daily!$H:$H,Daily!$A:$A,"&gt;="&amp;$B$3,Daily!$A:$A,"&lt;="&amp;$B$4,Daily!$C:$C,$A13))</f>
      </c>
      <c r="D13" s="18">
        <f>IF($A13="","",IF(C13&gt;0,B13/C13,0))</f>
      </c>
      <c r="E13" s="19">
        <f>IF($A13="","",IF(N(Setup!$C$2)&gt;0,Setup!$C$2,""))</f>
      </c>
      <c r="F13" s="17">
        <f>IF($A13="","",IF(AND(N(E13)&gt;0,C13&gt;0),E13*C13,""))</f>
      </c>
      <c r="G13" s="20">
        <f>IF($A13="","",IF(F13="","",B13/F13))</f>
      </c>
    </row>
    <row r="14" spans="1:7" x14ac:dyDescent="0.25">
      <c r="A14" s="15">
        <f>IF(AND(Setup!$A$3&lt;&gt;"",Setup!$B$3="Y"),Setup!$A$3,"")</f>
      </c>
      <c r="B14" s="16">
        <f>IF($A14="","",SUMIFS(Daily!$I:$I,Daily!$A:$A,"&gt;="&amp;$B$3,Daily!$A:$A,"&lt;="&amp;$B$4,Daily!$C:$C,$A14))</f>
      </c>
      <c r="C14" s="17">
        <f>IF($A14="","",SUMIFS(Daily!$H:$H,Daily!$A:$A,"&gt;="&amp;$B$3,Daily!$A:$A,"&lt;="&amp;$B$4,Daily!$C:$C,$A14))</f>
      </c>
      <c r="D14" s="18">
        <f>IF($A14="","",IF(C14&gt;0,B14/C14,0))</f>
      </c>
      <c r="E14" s="19">
        <f>IF($A14="","",IF(N(Setup!$C$3)&gt;0,Setup!$C$3,""))</f>
      </c>
      <c r="F14" s="17">
        <f>IF($A14="","",IF(AND(N(E14)&gt;0,C14&gt;0),E14*C14,""))</f>
      </c>
      <c r="G14" s="20">
        <f>IF($A14="","",IF(F14="","",B14/F14))</f>
      </c>
    </row>
    <row r="15" spans="1:7" x14ac:dyDescent="0.25">
      <c r="A15" s="15">
        <f>IF(AND(Setup!$A$7&lt;&gt;"",Setup!$B$7="Y"),Setup!$A$7,"")</f>
      </c>
      <c r="B15" s="16">
        <f>IF($A15="","",SUMIFS(Daily!$I:$I,Daily!$A:$A,"&gt;="&amp;$B$3,Daily!$A:$A,"&lt;="&amp;$B$4,Daily!$C:$C,$A15))</f>
      </c>
      <c r="C15" s="17">
        <f>IF($A15="","",SUMIFS(Daily!$H:$H,Daily!$A:$A,"&gt;="&amp;$B$3,Daily!$A:$A,"&lt;="&amp;$B$4,Daily!$C:$C,$A15))</f>
      </c>
      <c r="D15" s="18">
        <f>IF($A15="","",IF(C15&gt;0,B15/C15,0))</f>
      </c>
      <c r="E15" s="19">
        <f>IF($A15="","",IF(N(Setup!$C$7)&gt;0,Setup!$C$7,""))</f>
      </c>
      <c r="F15" s="17">
        <f>IF($A15="","",IF(AND(N(E15)&gt;0,C15&gt;0),E15*C15,""))</f>
      </c>
      <c r="G15" s="20">
        <f>IF($A15="","",IF(F15="","",B15/F15))</f>
      </c>
    </row>
    <row r="16" spans="1:7" x14ac:dyDescent="0.25">
      <c r="A16" s="15">
        <f>IF(AND(Setup!$A$8&lt;&gt;"",Setup!$B$8="Y"),Setup!$A$8,"")</f>
      </c>
      <c r="B16" s="16">
        <f>IF($A16="","",SUMIFS(Daily!$I:$I,Daily!$A:$A,"&gt;="&amp;$B$3,Daily!$A:$A,"&lt;="&amp;$B$4,Daily!$C:$C,$A16))</f>
      </c>
      <c r="C16" s="17">
        <f>IF($A16="","",SUMIFS(Daily!$H:$H,Daily!$A:$A,"&gt;="&amp;$B$3,Daily!$A:$A,"&lt;="&amp;$B$4,Daily!$C:$C,$A16))</f>
      </c>
      <c r="D16" s="18">
        <f>IF($A16="","",IF(C16&gt;0,B16/C16,0))</f>
      </c>
      <c r="E16" s="19">
        <f>IF($A16="","",IF(N(Setup!$C$8)&gt;0,Setup!$C$8,""))</f>
      </c>
      <c r="F16" s="17">
        <f>IF($A16="","",IF(AND(N(E16)&gt;0,C16&gt;0),E16*C16,""))</f>
      </c>
      <c r="G16" s="20">
        <f>IF($A16="","",IF(F16="","",B16/F16))</f>
      </c>
    </row>
    <row r="17" spans="1:7" x14ac:dyDescent="0.25">
      <c r="A17" s="15">
        <f>IF(AND(Setup!$A$9&lt;&gt;"",Setup!$B$9="Y"),Setup!$A$9,"")</f>
      </c>
      <c r="B17" s="16">
        <f>IF($A17="","",SUMIFS(Daily!$I:$I,Daily!$A:$A,"&gt;="&amp;$B$3,Daily!$A:$A,"&lt;="&amp;$B$4,Daily!$C:$C,$A17))</f>
      </c>
      <c r="C17" s="17">
        <f>IF($A17="","",SUMIFS(Daily!$H:$H,Daily!$A:$A,"&gt;="&amp;$B$3,Daily!$A:$A,"&lt;="&amp;$B$4,Daily!$C:$C,$A17))</f>
      </c>
      <c r="D17" s="18">
        <f>IF($A17="","",IF(C17&gt;0,B17/C17,0))</f>
      </c>
      <c r="E17" s="19">
        <f>IF($A17="","",IF(N(Setup!$C$9)&gt;0,Setup!$C$9,""))</f>
      </c>
      <c r="F17" s="17">
        <f>IF($A17="","",IF(AND(N(E17)&gt;0,C17&gt;0),E17*C17,""))</f>
      </c>
      <c r="G17" s="20">
        <f>IF($A17="","",IF(F17="","",B17/F17))</f>
      </c>
    </row>
    <row r="18" spans="1:7" x14ac:dyDescent="0.25">
      <c r="A18" s="15">
        <f>IF(AND(Setup!$A$10&lt;&gt;"",Setup!$B$10="Y"),Setup!$A$10,"")</f>
      </c>
      <c r="B18" s="16">
        <f>IF($A18="","",SUMIFS(Daily!$I:$I,Daily!$A:$A,"&gt;="&amp;$B$3,Daily!$A:$A,"&lt;="&amp;$B$4,Daily!$C:$C,$A18))</f>
      </c>
      <c r="C18" s="17">
        <f>IF($A18="","",SUMIFS(Daily!$H:$H,Daily!$A:$A,"&gt;="&amp;$B$3,Daily!$A:$A,"&lt;="&amp;$B$4,Daily!$C:$C,$A18))</f>
      </c>
      <c r="D18" s="18">
        <f>IF($A18="","",IF(C18&gt;0,B18/C18,0))</f>
      </c>
      <c r="E18" s="19">
        <f>IF($A18="","",IF(N(Setup!$C$10)&gt;0,Setup!$C$10,""))</f>
      </c>
      <c r="F18" s="17">
        <f>IF($A18="","",IF(AND(N(E18)&gt;0,C18&gt;0),E18*C18,""))</f>
      </c>
      <c r="G18" s="20">
        <f>IF($A18="","",IF(F18="","",B18/F18))</f>
      </c>
    </row>
    <row r="20" ht="28" customHeight="1" spans="1:3" x14ac:dyDescent="0.25">
      <c r="A20" s="11" t="s">
        <v>18</v>
      </c>
      <c r="B20" s="12"/>
      <c r="C20" s="12"/>
    </row>
    <row r="21" ht="24" customHeight="1" spans="1:3" x14ac:dyDescent="0.25">
      <c r="A21" s="13" t="s">
        <v>19</v>
      </c>
      <c r="B21" s="14" t="s">
        <v>13</v>
      </c>
      <c r="C21" s="14" t="s">
        <v>20</v>
      </c>
    </row>
    <row r="22" spans="1:3" x14ac:dyDescent="0.25">
      <c r="A22" s="15">
        <f>IF(Setup!$A$2="","",Setup!$A$2)</f>
      </c>
      <c r="B22" s="17">
        <f>IF($A22="","",SUMIFS(Daily!$F:$F,Daily!$A:$A,"&gt;="&amp;$B$3,Daily!$A:$A,"&lt;="&amp;$B$4,Daily!$C:$C,$A22))</f>
      </c>
      <c r="C22" s="20">
        <f>IF($A22="","",IF($D$7&gt;0,B22/$D$7,0))</f>
      </c>
    </row>
    <row r="23" spans="1:3" x14ac:dyDescent="0.25">
      <c r="A23" s="15">
        <f>IF(Setup!$A$3="","",Setup!$A$3)</f>
      </c>
      <c r="B23" s="17">
        <f>IF($A23="","",SUMIFS(Daily!$F:$F,Daily!$A:$A,"&gt;="&amp;$B$3,Daily!$A:$A,"&lt;="&amp;$B$4,Daily!$C:$C,$A23))</f>
      </c>
      <c r="C23" s="20">
        <f>IF($A23="","",IF($D$7&gt;0,B23/$D$7,0))</f>
      </c>
    </row>
    <row r="24" spans="1:3" x14ac:dyDescent="0.25">
      <c r="A24" s="15">
        <f>IF(Setup!$A$4="","",Setup!$A$4)</f>
      </c>
      <c r="B24" s="17">
        <f>IF($A24="","",SUMIFS(Daily!$F:$F,Daily!$A:$A,"&gt;="&amp;$B$3,Daily!$A:$A,"&lt;="&amp;$B$4,Daily!$C:$C,$A24))</f>
      </c>
      <c r="C24" s="20">
        <f>IF($A24="","",IF($D$7&gt;0,B24/$D$7,0))</f>
      </c>
    </row>
    <row r="25" spans="1:3" x14ac:dyDescent="0.25">
      <c r="A25" s="15">
        <f>IF(Setup!$A$5="","",Setup!$A$5)</f>
      </c>
      <c r="B25" s="17">
        <f>IF($A25="","",SUMIFS(Daily!$F:$F,Daily!$A:$A,"&gt;="&amp;$B$3,Daily!$A:$A,"&lt;="&amp;$B$4,Daily!$C:$C,$A25))</f>
      </c>
      <c r="C25" s="20">
        <f>IF($A25="","",IF($D$7&gt;0,B25/$D$7,0))</f>
      </c>
    </row>
    <row r="26" spans="1:3" x14ac:dyDescent="0.25">
      <c r="A26" s="15">
        <f>IF(Setup!$A$6="","",Setup!$A$6)</f>
      </c>
      <c r="B26" s="17">
        <f>IF($A26="","",SUMIFS(Daily!$F:$F,Daily!$A:$A,"&gt;="&amp;$B$3,Daily!$A:$A,"&lt;="&amp;$B$4,Daily!$C:$C,$A26))</f>
      </c>
      <c r="C26" s="20">
        <f>IF($A26="","",IF($D$7&gt;0,B26/$D$7,0))</f>
      </c>
    </row>
    <row r="27" spans="1:3" x14ac:dyDescent="0.25">
      <c r="A27" s="15">
        <f>IF(Setup!$A$7="","",Setup!$A$7)</f>
      </c>
      <c r="B27" s="17">
        <f>IF($A27="","",SUMIFS(Daily!$F:$F,Daily!$A:$A,"&gt;="&amp;$B$3,Daily!$A:$A,"&lt;="&amp;$B$4,Daily!$C:$C,$A27))</f>
      </c>
      <c r="C27" s="20">
        <f>IF($A27="","",IF($D$7&gt;0,B27/$D$7,0))</f>
      </c>
    </row>
    <row r="28" spans="1:3" x14ac:dyDescent="0.25">
      <c r="A28" s="15">
        <f>IF(Setup!$A$8="","",Setup!$A$8)</f>
      </c>
      <c r="B28" s="17">
        <f>IF($A28="","",SUMIFS(Daily!$F:$F,Daily!$A:$A,"&gt;="&amp;$B$3,Daily!$A:$A,"&lt;="&amp;$B$4,Daily!$C:$C,$A28))</f>
      </c>
      <c r="C28" s="20">
        <f>IF($A28="","",IF($D$7&gt;0,B28/$D$7,0))</f>
      </c>
    </row>
    <row r="29" spans="1:3" x14ac:dyDescent="0.25">
      <c r="A29" s="15">
        <f>IF(Setup!$A$9="","",Setup!$A$9)</f>
      </c>
      <c r="B29" s="17">
        <f>IF($A29="","",SUMIFS(Daily!$F:$F,Daily!$A:$A,"&gt;="&amp;$B$3,Daily!$A:$A,"&lt;="&amp;$B$4,Daily!$C:$C,$A29))</f>
      </c>
      <c r="C29" s="20">
        <f>IF($A29="","",IF($D$7&gt;0,B29/$D$7,0))</f>
      </c>
    </row>
    <row r="30" spans="1:3" x14ac:dyDescent="0.25">
      <c r="A30" s="15">
        <f>IF(Setup!$A$10="","",Setup!$A$10)</f>
      </c>
      <c r="B30" s="17">
        <f>IF($A30="","",SUMIFS(Daily!$F:$F,Daily!$A:$A,"&gt;="&amp;$B$3,Daily!$A:$A,"&lt;="&amp;$B$4,Daily!$C:$C,$A30))</f>
      </c>
      <c r="C30" s="20">
        <f>IF($A30="","",IF($D$7&gt;0,B30/$D$7,0))</f>
      </c>
    </row>
  </sheetData>
  <mergeCells count="3">
    <mergeCell ref="A1:G1"/>
    <mergeCell ref="A2:G2"/>
    <mergeCell ref="A9:G9"/>
  </mergeCells>
  <conditionalFormatting sqref="A13:G18">
    <cfRule type="expression" dxfId="0" priority="3">
      <formula>AND($A13&lt;&gt;"",MOD(ROW(),2)=1)</formula>
    </cfRule>
    <cfRule type="expression" dxfId="1" priority="4">
      <formula>AND($A13&lt;&gt;"",MOD(ROW(),2)=0)</formula>
    </cfRule>
  </conditionalFormatting>
  <conditionalFormatting sqref="G13:G18">
    <cfRule type="expression" dxfId="2" priority="1">
      <formula>AND(ISNUMBER($G13),$G13&gt;=1)</formula>
    </cfRule>
    <cfRule type="expression" dxfId="3" priority="2">
      <formula>AND(ISNUMBER($G13),$G13&lt;1)</formula>
    </cfRule>
  </conditionalFormatting>
  <conditionalFormatting sqref="A22:C30">
    <cfRule type="expression" dxfId="4" priority="3">
      <formula>AND($A22&lt;&gt;"",MOD(ROW(),2)=1)</formula>
    </cfRule>
    <cfRule type="expression" dxfId="5" priority="4">
      <formula>AND($A22&lt;&gt;"",MOD(ROW(),2)=0)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8181"/>
  </sheetPr>
  <dimension ref="A1:K681"/>
  <sheetViews>
    <sheetView workbookViewId="0" showGridLines="0"/>
  </sheetViews>
  <sheetFormatPr defaultRowHeight="15" outlineLevelRow="0" outlineLevelCol="0" x14ac:dyDescent="55"/>
  <cols>
    <col min="1" max="1" width="10" style="1" hidden="1" customWidth="1"/>
    <col min="2" max="2" width="15" style="1" customWidth="1"/>
    <col min="3" max="3" width="20" style="1" customWidth="1"/>
    <col min="4" max="4" width="9" style="1" customWidth="1"/>
    <col min="5" max="5" width="8" style="1" customWidth="1"/>
    <col min="6" max="6" width="9" style="1" customWidth="1"/>
    <col min="7" max="7" width="10" style="1" customWidth="1"/>
    <col min="8" max="9" width="12" style="1" customWidth="1"/>
    <col min="10" max="10" width="11" style="1" customWidth="1"/>
    <col min="11" max="11" width="10" style="1" hidden="1" customWidth="1"/>
  </cols>
  <sheetData>
    <row r="1" ht="26" customHeight="1" spans="2:10" x14ac:dyDescent="0.25">
      <c r="B1" s="21">
        <v>46296</v>
      </c>
      <c r="C1" s="21"/>
      <c r="D1" s="21"/>
      <c r="E1" s="22" t="s">
        <v>21</v>
      </c>
      <c r="F1" s="22"/>
      <c r="G1" s="22"/>
      <c r="H1" s="22"/>
      <c r="I1" s="22"/>
      <c r="J1" s="22"/>
    </row>
    <row r="2" ht="18" customHeight="1" spans="2:10" x14ac:dyDescent="0.25">
      <c r="B2" s="23" t="s">
        <v>22</v>
      </c>
      <c r="C2" s="23" t="s">
        <v>19</v>
      </c>
      <c r="D2" s="24" t="s">
        <v>4</v>
      </c>
      <c r="E2" s="24" t="s">
        <v>23</v>
      </c>
      <c r="F2" s="25" t="s">
        <v>13</v>
      </c>
      <c r="G2" s="25" t="s">
        <v>24</v>
      </c>
      <c r="H2" s="25" t="s">
        <v>25</v>
      </c>
      <c r="I2" s="25" t="s">
        <v>4</v>
      </c>
      <c r="J2" s="25" t="s">
        <v>14</v>
      </c>
    </row>
    <row r="3" spans="1:11" x14ac:dyDescent="0.25">
      <c r="A3" s="26">
        <v>46296</v>
      </c>
      <c r="B3" s="27" t="s">
        <v>26</v>
      </c>
      <c r="C3" s="28"/>
      <c r="D3" s="29"/>
      <c r="E3" s="29"/>
      <c r="F3" s="30">
        <f>IF($C3="","",IF($E3="",30,$E3)/60)</f>
      </c>
      <c r="G3" s="30">
        <f>IF($C3="","",(30-IF($E3="",30,$E3))/60)</f>
      </c>
      <c r="H3" s="30">
        <f>IF($C3="",0,IF(IFERROR(VLOOKUP($C3,Setup!$A$2:$B$60,2,FALSE),"N")="Y",$F3,0))</f>
      </c>
      <c r="I3" s="31">
        <f>IF($C3="",0,IF(IFERROR(VLOOKUP($C3,Setup!$A$2:$B$60,2,FALSE),"N")="Y",N($D3),0))</f>
      </c>
      <c r="J3" s="30">
        <f>IF($H3&gt;0,$I3/$H3,"")</f>
      </c>
      <c r="K3" s="32">
        <f>IF($F21&gt;0,9,0)</f>
      </c>
    </row>
    <row r="4" spans="1:10" x14ac:dyDescent="0.25">
      <c r="A4" s="33">
        <v>46296</v>
      </c>
      <c r="B4" s="34" t="s">
        <v>27</v>
      </c>
      <c r="C4" s="35"/>
      <c r="D4" s="36"/>
      <c r="E4" s="36"/>
      <c r="F4" s="37">
        <f>IF($C4="","",IF($E4="",30,$E4)/60)</f>
      </c>
      <c r="G4" s="37">
        <f>IF($C4="","",(30-IF($E4="",30,$E4))/60)</f>
      </c>
      <c r="H4" s="37">
        <f>IF($C4="",0,IF(IFERROR(VLOOKUP($C4,Setup!$A$2:$B$60,2,FALSE),"N")="Y",$F4,0))</f>
      </c>
      <c r="I4" s="38">
        <f>IF($C4="",0,IF(IFERROR(VLOOKUP($C4,Setup!$A$2:$B$60,2,FALSE),"N")="Y",N($D4),0))</f>
      </c>
      <c r="J4" s="37">
        <f>IF($H4&gt;0,$I4/$H4,"")</f>
      </c>
    </row>
    <row r="5" spans="1:10" x14ac:dyDescent="0.25">
      <c r="A5" s="26">
        <v>46296</v>
      </c>
      <c r="B5" s="27" t="s">
        <v>28</v>
      </c>
      <c r="C5" s="28"/>
      <c r="D5" s="29"/>
      <c r="E5" s="29"/>
      <c r="F5" s="30">
        <f>IF($C5="","",IF($E5="",30,$E5)/60)</f>
      </c>
      <c r="G5" s="30">
        <f>IF($C5="","",(30-IF($E5="",30,$E5))/60)</f>
      </c>
      <c r="H5" s="30">
        <f>IF($C5="",0,IF(IFERROR(VLOOKUP($C5,Setup!$A$2:$B$60,2,FALSE),"N")="Y",$F5,0))</f>
      </c>
      <c r="I5" s="31">
        <f>IF($C5="",0,IF(IFERROR(VLOOKUP($C5,Setup!$A$2:$B$60,2,FALSE),"N")="Y",N($D5),0))</f>
      </c>
      <c r="J5" s="30">
        <f>IF($H5&gt;0,$I5/$H5,"")</f>
      </c>
    </row>
    <row r="6" spans="1:10" x14ac:dyDescent="0.25">
      <c r="A6" s="33">
        <v>46296</v>
      </c>
      <c r="B6" s="34" t="s">
        <v>29</v>
      </c>
      <c r="C6" s="35"/>
      <c r="D6" s="36"/>
      <c r="E6" s="36"/>
      <c r="F6" s="37">
        <f>IF($C6="","",IF($E6="",30,$E6)/60)</f>
      </c>
      <c r="G6" s="37">
        <f>IF($C6="","",(30-IF($E6="",30,$E6))/60)</f>
      </c>
      <c r="H6" s="37">
        <f>IF($C6="",0,IF(IFERROR(VLOOKUP($C6,Setup!$A$2:$B$60,2,FALSE),"N")="Y",$F6,0))</f>
      </c>
      <c r="I6" s="38">
        <f>IF($C6="",0,IF(IFERROR(VLOOKUP($C6,Setup!$A$2:$B$60,2,FALSE),"N")="Y",N($D6),0))</f>
      </c>
      <c r="J6" s="37">
        <f>IF($H6&gt;0,$I6/$H6,"")</f>
      </c>
    </row>
    <row r="7" spans="1:10" x14ac:dyDescent="0.25">
      <c r="A7" s="26">
        <v>46296</v>
      </c>
      <c r="B7" s="27" t="s">
        <v>30</v>
      </c>
      <c r="C7" s="28"/>
      <c r="D7" s="29"/>
      <c r="E7" s="29"/>
      <c r="F7" s="30">
        <f>IF($C7="","",IF($E7="",30,$E7)/60)</f>
      </c>
      <c r="G7" s="30">
        <f>IF($C7="","",(30-IF($E7="",30,$E7))/60)</f>
      </c>
      <c r="H7" s="30">
        <f>IF($C7="",0,IF(IFERROR(VLOOKUP($C7,Setup!$A$2:$B$60,2,FALSE),"N")="Y",$F7,0))</f>
      </c>
      <c r="I7" s="31">
        <f>IF($C7="",0,IF(IFERROR(VLOOKUP($C7,Setup!$A$2:$B$60,2,FALSE),"N")="Y",N($D7),0))</f>
      </c>
      <c r="J7" s="30">
        <f>IF($H7&gt;0,$I7/$H7,"")</f>
      </c>
    </row>
    <row r="8" spans="1:10" x14ac:dyDescent="0.25">
      <c r="A8" s="33">
        <v>46296</v>
      </c>
      <c r="B8" s="34" t="s">
        <v>31</v>
      </c>
      <c r="C8" s="35"/>
      <c r="D8" s="36"/>
      <c r="E8" s="36"/>
      <c r="F8" s="37">
        <f>IF($C8="","",IF($E8="",30,$E8)/60)</f>
      </c>
      <c r="G8" s="37">
        <f>IF($C8="","",(30-IF($E8="",30,$E8))/60)</f>
      </c>
      <c r="H8" s="37">
        <f>IF($C8="",0,IF(IFERROR(VLOOKUP($C8,Setup!$A$2:$B$60,2,FALSE),"N")="Y",$F8,0))</f>
      </c>
      <c r="I8" s="38">
        <f>IF($C8="",0,IF(IFERROR(VLOOKUP($C8,Setup!$A$2:$B$60,2,FALSE),"N")="Y",N($D8),0))</f>
      </c>
      <c r="J8" s="37">
        <f>IF($H8&gt;0,$I8/$H8,"")</f>
      </c>
    </row>
    <row r="9" spans="1:10" x14ac:dyDescent="0.25">
      <c r="A9" s="26">
        <v>46296</v>
      </c>
      <c r="B9" s="27" t="s">
        <v>32</v>
      </c>
      <c r="C9" s="28"/>
      <c r="D9" s="29"/>
      <c r="E9" s="29"/>
      <c r="F9" s="30">
        <f>IF($C9="","",IF($E9="",30,$E9)/60)</f>
      </c>
      <c r="G9" s="30">
        <f>IF($C9="","",(30-IF($E9="",30,$E9))/60)</f>
      </c>
      <c r="H9" s="30">
        <f>IF($C9="",0,IF(IFERROR(VLOOKUP($C9,Setup!$A$2:$B$60,2,FALSE),"N")="Y",$F9,0))</f>
      </c>
      <c r="I9" s="31">
        <f>IF($C9="",0,IF(IFERROR(VLOOKUP($C9,Setup!$A$2:$B$60,2,FALSE),"N")="Y",N($D9),0))</f>
      </c>
      <c r="J9" s="30">
        <f>IF($H9&gt;0,$I9/$H9,"")</f>
      </c>
    </row>
    <row r="10" spans="1:10" x14ac:dyDescent="0.25">
      <c r="A10" s="33">
        <v>46296</v>
      </c>
      <c r="B10" s="34" t="s">
        <v>33</v>
      </c>
      <c r="C10" s="35"/>
      <c r="D10" s="36"/>
      <c r="E10" s="36"/>
      <c r="F10" s="37">
        <f>IF($C10="","",IF($E10="",30,$E10)/60)</f>
      </c>
      <c r="G10" s="37">
        <f>IF($C10="","",(30-IF($E10="",30,$E10))/60)</f>
      </c>
      <c r="H10" s="37">
        <f>IF($C10="",0,IF(IFERROR(VLOOKUP($C10,Setup!$A$2:$B$60,2,FALSE),"N")="Y",$F10,0))</f>
      </c>
      <c r="I10" s="38">
        <f>IF($C10="",0,IF(IFERROR(VLOOKUP($C10,Setup!$A$2:$B$60,2,FALSE),"N")="Y",N($D10),0))</f>
      </c>
      <c r="J10" s="37">
        <f>IF($H10&gt;0,$I10/$H10,"")</f>
      </c>
    </row>
    <row r="11" spans="1:10" x14ac:dyDescent="0.25">
      <c r="A11" s="26">
        <v>46296</v>
      </c>
      <c r="B11" s="27" t="s">
        <v>34</v>
      </c>
      <c r="C11" s="28"/>
      <c r="D11" s="29"/>
      <c r="E11" s="29"/>
      <c r="F11" s="30">
        <f>IF($C11="","",IF($E11="",30,$E11)/60)</f>
      </c>
      <c r="G11" s="30">
        <f>IF($C11="","",(30-IF($E11="",30,$E11))/60)</f>
      </c>
      <c r="H11" s="30">
        <f>IF($C11="",0,IF(IFERROR(VLOOKUP($C11,Setup!$A$2:$B$60,2,FALSE),"N")="Y",$F11,0))</f>
      </c>
      <c r="I11" s="31">
        <f>IF($C11="",0,IF(IFERROR(VLOOKUP($C11,Setup!$A$2:$B$60,2,FALSE),"N")="Y",N($D11),0))</f>
      </c>
      <c r="J11" s="30">
        <f>IF($H11&gt;0,$I11/$H11,"")</f>
      </c>
    </row>
    <row r="12" spans="1:10" x14ac:dyDescent="0.25">
      <c r="A12" s="33">
        <v>46296</v>
      </c>
      <c r="B12" s="34" t="s">
        <v>35</v>
      </c>
      <c r="C12" s="35"/>
      <c r="D12" s="36"/>
      <c r="E12" s="36"/>
      <c r="F12" s="37">
        <f>IF($C12="","",IF($E12="",30,$E12)/60)</f>
      </c>
      <c r="G12" s="37">
        <f>IF($C12="","",(30-IF($E12="",30,$E12))/60)</f>
      </c>
      <c r="H12" s="37">
        <f>IF($C12="",0,IF(IFERROR(VLOOKUP($C12,Setup!$A$2:$B$60,2,FALSE),"N")="Y",$F12,0))</f>
      </c>
      <c r="I12" s="38">
        <f>IF($C12="",0,IF(IFERROR(VLOOKUP($C12,Setup!$A$2:$B$60,2,FALSE),"N")="Y",N($D12),0))</f>
      </c>
      <c r="J12" s="37">
        <f>IF($H12&gt;0,$I12/$H12,"")</f>
      </c>
    </row>
    <row r="13" spans="1:10" x14ac:dyDescent="0.25">
      <c r="A13" s="26">
        <v>46296</v>
      </c>
      <c r="B13" s="27" t="s">
        <v>36</v>
      </c>
      <c r="C13" s="28"/>
      <c r="D13" s="29"/>
      <c r="E13" s="29"/>
      <c r="F13" s="30">
        <f>IF($C13="","",IF($E13="",30,$E13)/60)</f>
      </c>
      <c r="G13" s="30">
        <f>IF($C13="","",(30-IF($E13="",30,$E13))/60)</f>
      </c>
      <c r="H13" s="30">
        <f>IF($C13="",0,IF(IFERROR(VLOOKUP($C13,Setup!$A$2:$B$60,2,FALSE),"N")="Y",$F13,0))</f>
      </c>
      <c r="I13" s="31">
        <f>IF($C13="",0,IF(IFERROR(VLOOKUP($C13,Setup!$A$2:$B$60,2,FALSE),"N")="Y",N($D13),0))</f>
      </c>
      <c r="J13" s="30">
        <f>IF($H13&gt;0,$I13/$H13,"")</f>
      </c>
    </row>
    <row r="14" spans="1:10" x14ac:dyDescent="0.25">
      <c r="A14" s="33">
        <v>46296</v>
      </c>
      <c r="B14" s="34" t="s">
        <v>37</v>
      </c>
      <c r="C14" s="35"/>
      <c r="D14" s="36"/>
      <c r="E14" s="36"/>
      <c r="F14" s="37">
        <f>IF($C14="","",IF($E14="",30,$E14)/60)</f>
      </c>
      <c r="G14" s="37">
        <f>IF($C14="","",(30-IF($E14="",30,$E14))/60)</f>
      </c>
      <c r="H14" s="37">
        <f>IF($C14="",0,IF(IFERROR(VLOOKUP($C14,Setup!$A$2:$B$60,2,FALSE),"N")="Y",$F14,0))</f>
      </c>
      <c r="I14" s="38">
        <f>IF($C14="",0,IF(IFERROR(VLOOKUP($C14,Setup!$A$2:$B$60,2,FALSE),"N")="Y",N($D14),0))</f>
      </c>
      <c r="J14" s="37">
        <f>IF($H14&gt;0,$I14/$H14,"")</f>
      </c>
    </row>
    <row r="15" spans="1:10" x14ac:dyDescent="0.25">
      <c r="A15" s="26">
        <v>46296</v>
      </c>
      <c r="B15" s="27" t="s">
        <v>38</v>
      </c>
      <c r="C15" s="28"/>
      <c r="D15" s="29"/>
      <c r="E15" s="29"/>
      <c r="F15" s="30">
        <f>IF($C15="","",IF($E15="",30,$E15)/60)</f>
      </c>
      <c r="G15" s="30">
        <f>IF($C15="","",(30-IF($E15="",30,$E15))/60)</f>
      </c>
      <c r="H15" s="30">
        <f>IF($C15="",0,IF(IFERROR(VLOOKUP($C15,Setup!$A$2:$B$60,2,FALSE),"N")="Y",$F15,0))</f>
      </c>
      <c r="I15" s="31">
        <f>IF($C15="",0,IF(IFERROR(VLOOKUP($C15,Setup!$A$2:$B$60,2,FALSE),"N")="Y",N($D15),0))</f>
      </c>
      <c r="J15" s="30">
        <f>IF($H15&gt;0,$I15/$H15,"")</f>
      </c>
    </row>
    <row r="16" spans="1:10" x14ac:dyDescent="0.25">
      <c r="A16" s="33">
        <v>46296</v>
      </c>
      <c r="B16" s="34" t="s">
        <v>39</v>
      </c>
      <c r="C16" s="35"/>
      <c r="D16" s="36"/>
      <c r="E16" s="36"/>
      <c r="F16" s="37">
        <f>IF($C16="","",IF($E16="",30,$E16)/60)</f>
      </c>
      <c r="G16" s="37">
        <f>IF($C16="","",(30-IF($E16="",30,$E16))/60)</f>
      </c>
      <c r="H16" s="37">
        <f>IF($C16="",0,IF(IFERROR(VLOOKUP($C16,Setup!$A$2:$B$60,2,FALSE),"N")="Y",$F16,0))</f>
      </c>
      <c r="I16" s="38">
        <f>IF($C16="",0,IF(IFERROR(VLOOKUP($C16,Setup!$A$2:$B$60,2,FALSE),"N")="Y",N($D16),0))</f>
      </c>
      <c r="J16" s="37">
        <f>IF($H16&gt;0,$I16/$H16,"")</f>
      </c>
    </row>
    <row r="17" spans="1:10" x14ac:dyDescent="0.25">
      <c r="A17" s="26">
        <v>46296</v>
      </c>
      <c r="B17" s="27" t="s">
        <v>40</v>
      </c>
      <c r="C17" s="28"/>
      <c r="D17" s="29"/>
      <c r="E17" s="29"/>
      <c r="F17" s="30">
        <f>IF($C17="","",IF($E17="",30,$E17)/60)</f>
      </c>
      <c r="G17" s="30">
        <f>IF($C17="","",(30-IF($E17="",30,$E17))/60)</f>
      </c>
      <c r="H17" s="30">
        <f>IF($C17="",0,IF(IFERROR(VLOOKUP($C17,Setup!$A$2:$B$60,2,FALSE),"N")="Y",$F17,0))</f>
      </c>
      <c r="I17" s="31">
        <f>IF($C17="",0,IF(IFERROR(VLOOKUP($C17,Setup!$A$2:$B$60,2,FALSE),"N")="Y",N($D17),0))</f>
      </c>
      <c r="J17" s="30">
        <f>IF($H17&gt;0,$I17/$H17,"")</f>
      </c>
    </row>
    <row r="18" spans="1:10" x14ac:dyDescent="0.25">
      <c r="A18" s="33">
        <v>46296</v>
      </c>
      <c r="B18" s="34" t="s">
        <v>41</v>
      </c>
      <c r="C18" s="35"/>
      <c r="D18" s="36"/>
      <c r="E18" s="36"/>
      <c r="F18" s="37">
        <f>IF($C18="","",IF($E18="",30,$E18)/60)</f>
      </c>
      <c r="G18" s="37">
        <f>IF($C18="","",(30-IF($E18="",30,$E18))/60)</f>
      </c>
      <c r="H18" s="37">
        <f>IF($C18="",0,IF(IFERROR(VLOOKUP($C18,Setup!$A$2:$B$60,2,FALSE),"N")="Y",$F18,0))</f>
      </c>
      <c r="I18" s="38">
        <f>IF($C18="",0,IF(IFERROR(VLOOKUP($C18,Setup!$A$2:$B$60,2,FALSE),"N")="Y",N($D18),0))</f>
      </c>
      <c r="J18" s="37">
        <f>IF($H18&gt;0,$I18/$H18,"")</f>
      </c>
    </row>
    <row r="19" spans="1:10" x14ac:dyDescent="0.25">
      <c r="A19" s="26">
        <v>46296</v>
      </c>
      <c r="B19" s="27" t="s">
        <v>42</v>
      </c>
      <c r="C19" s="28"/>
      <c r="D19" s="29"/>
      <c r="E19" s="29"/>
      <c r="F19" s="30">
        <f>IF($C19="","",IF($E19="",30,$E19)/60)</f>
      </c>
      <c r="G19" s="30">
        <f>IF($C19="","",(30-IF($E19="",30,$E19))/60)</f>
      </c>
      <c r="H19" s="30">
        <f>IF($C19="",0,IF(IFERROR(VLOOKUP($C19,Setup!$A$2:$B$60,2,FALSE),"N")="Y",$F19,0))</f>
      </c>
      <c r="I19" s="31">
        <f>IF($C19="",0,IF(IFERROR(VLOOKUP($C19,Setup!$A$2:$B$60,2,FALSE),"N")="Y",N($D19),0))</f>
      </c>
      <c r="J19" s="30">
        <f>IF($H19&gt;0,$I19/$H19,"")</f>
      </c>
    </row>
    <row r="20" spans="1:10" x14ac:dyDescent="0.25">
      <c r="A20" s="33">
        <v>46296</v>
      </c>
      <c r="B20" s="34" t="s">
        <v>43</v>
      </c>
      <c r="C20" s="35"/>
      <c r="D20" s="36"/>
      <c r="E20" s="36"/>
      <c r="F20" s="37">
        <f>IF($C20="","",IF($E20="",30,$E20)/60)</f>
      </c>
      <c r="G20" s="37">
        <f>IF($C20="","",(30-IF($E20="",30,$E20))/60)</f>
      </c>
      <c r="H20" s="37">
        <f>IF($C20="",0,IF(IFERROR(VLOOKUP($C20,Setup!$A$2:$B$60,2,FALSE),"N")="Y",$F20,0))</f>
      </c>
      <c r="I20" s="38">
        <f>IF($C20="",0,IF(IFERROR(VLOOKUP($C20,Setup!$A$2:$B$60,2,FALSE),"N")="Y",N($D20),0))</f>
      </c>
      <c r="J20" s="37">
        <f>IF($H20&gt;0,$I20/$H20,"")</f>
      </c>
    </row>
    <row r="21" spans="2:10" x14ac:dyDescent="0.25">
      <c r="B21" s="39" t="s">
        <v>44</v>
      </c>
      <c r="C21" s="40"/>
      <c r="D21" s="41">
        <f>SUM(I3:I20)</f>
      </c>
      <c r="E21" s="40"/>
      <c r="F21" s="42">
        <f>SUM(F3:F20)</f>
      </c>
      <c r="G21" s="42">
        <f>SUM(G3:G20)</f>
      </c>
      <c r="H21" s="42">
        <f>SUM(H3:H20)</f>
      </c>
      <c r="I21" s="40"/>
      <c r="J21" s="42">
        <f>IF(H21&gt;0,D21/H21,"")</f>
      </c>
    </row>
    <row r="23" ht="26" customHeight="1" spans="2:10" x14ac:dyDescent="0.25">
      <c r="B23" s="21">
        <v>46297</v>
      </c>
      <c r="C23" s="21"/>
      <c r="D23" s="21"/>
      <c r="E23" s="22" t="s">
        <v>21</v>
      </c>
      <c r="F23" s="22"/>
      <c r="G23" s="22"/>
      <c r="H23" s="22"/>
      <c r="I23" s="22"/>
      <c r="J23" s="22"/>
    </row>
    <row r="24" ht="18" customHeight="1" spans="2:10" x14ac:dyDescent="0.25">
      <c r="B24" s="23" t="s">
        <v>22</v>
      </c>
      <c r="C24" s="23" t="s">
        <v>19</v>
      </c>
      <c r="D24" s="24" t="s">
        <v>4</v>
      </c>
      <c r="E24" s="24" t="s">
        <v>23</v>
      </c>
      <c r="F24" s="25" t="s">
        <v>13</v>
      </c>
      <c r="G24" s="25" t="s">
        <v>24</v>
      </c>
      <c r="H24" s="25" t="s">
        <v>25</v>
      </c>
      <c r="I24" s="25" t="s">
        <v>4</v>
      </c>
      <c r="J24" s="25" t="s">
        <v>14</v>
      </c>
    </row>
    <row r="25" spans="1:11" x14ac:dyDescent="0.25">
      <c r="A25" s="26">
        <v>46297</v>
      </c>
      <c r="B25" s="27" t="s">
        <v>26</v>
      </c>
      <c r="C25" s="28"/>
      <c r="D25" s="29"/>
      <c r="E25" s="29"/>
      <c r="F25" s="30">
        <f>IF($C25="","",IF($E25="",30,$E25)/60)</f>
      </c>
      <c r="G25" s="30">
        <f>IF($C25="","",(30-IF($E25="",30,$E25))/60)</f>
      </c>
      <c r="H25" s="30">
        <f>IF($C25="",0,IF(IFERROR(VLOOKUP($C25,Setup!$A$2:$B$60,2,FALSE),"N")="Y",$F25,0))</f>
      </c>
      <c r="I25" s="31">
        <f>IF($C25="",0,IF(IFERROR(VLOOKUP($C25,Setup!$A$2:$B$60,2,FALSE),"N")="Y",N($D25),0))</f>
      </c>
      <c r="J25" s="30">
        <f>IF($H25&gt;0,$I25/$H25,"")</f>
      </c>
      <c r="K25" s="32">
        <f>IF($F43&gt;0,9,0)</f>
      </c>
    </row>
    <row r="26" spans="1:10" x14ac:dyDescent="0.25">
      <c r="A26" s="33">
        <v>46297</v>
      </c>
      <c r="B26" s="34" t="s">
        <v>27</v>
      </c>
      <c r="C26" s="35"/>
      <c r="D26" s="36"/>
      <c r="E26" s="36"/>
      <c r="F26" s="37">
        <f>IF($C26="","",IF($E26="",30,$E26)/60)</f>
      </c>
      <c r="G26" s="37">
        <f>IF($C26="","",(30-IF($E26="",30,$E26))/60)</f>
      </c>
      <c r="H26" s="37">
        <f>IF($C26="",0,IF(IFERROR(VLOOKUP($C26,Setup!$A$2:$B$60,2,FALSE),"N")="Y",$F26,0))</f>
      </c>
      <c r="I26" s="38">
        <f>IF($C26="",0,IF(IFERROR(VLOOKUP($C26,Setup!$A$2:$B$60,2,FALSE),"N")="Y",N($D26),0))</f>
      </c>
      <c r="J26" s="37">
        <f>IF($H26&gt;0,$I26/$H26,"")</f>
      </c>
    </row>
    <row r="27" spans="1:10" x14ac:dyDescent="0.25">
      <c r="A27" s="26">
        <v>46297</v>
      </c>
      <c r="B27" s="27" t="s">
        <v>28</v>
      </c>
      <c r="C27" s="28"/>
      <c r="D27" s="29"/>
      <c r="E27" s="29"/>
      <c r="F27" s="30">
        <f>IF($C27="","",IF($E27="",30,$E27)/60)</f>
      </c>
      <c r="G27" s="30">
        <f>IF($C27="","",(30-IF($E27="",30,$E27))/60)</f>
      </c>
      <c r="H27" s="30">
        <f>IF($C27="",0,IF(IFERROR(VLOOKUP($C27,Setup!$A$2:$B$60,2,FALSE),"N")="Y",$F27,0))</f>
      </c>
      <c r="I27" s="31">
        <f>IF($C27="",0,IF(IFERROR(VLOOKUP($C27,Setup!$A$2:$B$60,2,FALSE),"N")="Y",N($D27),0))</f>
      </c>
      <c r="J27" s="30">
        <f>IF($H27&gt;0,$I27/$H27,"")</f>
      </c>
    </row>
    <row r="28" spans="1:10" x14ac:dyDescent="0.25">
      <c r="A28" s="33">
        <v>46297</v>
      </c>
      <c r="B28" s="34" t="s">
        <v>29</v>
      </c>
      <c r="C28" s="35"/>
      <c r="D28" s="36"/>
      <c r="E28" s="36"/>
      <c r="F28" s="37">
        <f>IF($C28="","",IF($E28="",30,$E28)/60)</f>
      </c>
      <c r="G28" s="37">
        <f>IF($C28="","",(30-IF($E28="",30,$E28))/60)</f>
      </c>
      <c r="H28" s="37">
        <f>IF($C28="",0,IF(IFERROR(VLOOKUP($C28,Setup!$A$2:$B$60,2,FALSE),"N")="Y",$F28,0))</f>
      </c>
      <c r="I28" s="38">
        <f>IF($C28="",0,IF(IFERROR(VLOOKUP($C28,Setup!$A$2:$B$60,2,FALSE),"N")="Y",N($D28),0))</f>
      </c>
      <c r="J28" s="37">
        <f>IF($H28&gt;0,$I28/$H28,"")</f>
      </c>
    </row>
    <row r="29" spans="1:10" x14ac:dyDescent="0.25">
      <c r="A29" s="26">
        <v>46297</v>
      </c>
      <c r="B29" s="27" t="s">
        <v>30</v>
      </c>
      <c r="C29" s="28"/>
      <c r="D29" s="29"/>
      <c r="E29" s="29"/>
      <c r="F29" s="30">
        <f>IF($C29="","",IF($E29="",30,$E29)/60)</f>
      </c>
      <c r="G29" s="30">
        <f>IF($C29="","",(30-IF($E29="",30,$E29))/60)</f>
      </c>
      <c r="H29" s="30">
        <f>IF($C29="",0,IF(IFERROR(VLOOKUP($C29,Setup!$A$2:$B$60,2,FALSE),"N")="Y",$F29,0))</f>
      </c>
      <c r="I29" s="31">
        <f>IF($C29="",0,IF(IFERROR(VLOOKUP($C29,Setup!$A$2:$B$60,2,FALSE),"N")="Y",N($D29),0))</f>
      </c>
      <c r="J29" s="30">
        <f>IF($H29&gt;0,$I29/$H29,"")</f>
      </c>
    </row>
    <row r="30" spans="1:10" x14ac:dyDescent="0.25">
      <c r="A30" s="33">
        <v>46297</v>
      </c>
      <c r="B30" s="34" t="s">
        <v>31</v>
      </c>
      <c r="C30" s="35"/>
      <c r="D30" s="36"/>
      <c r="E30" s="36"/>
      <c r="F30" s="37">
        <f>IF($C30="","",IF($E30="",30,$E30)/60)</f>
      </c>
      <c r="G30" s="37">
        <f>IF($C30="","",(30-IF($E30="",30,$E30))/60)</f>
      </c>
      <c r="H30" s="37">
        <f>IF($C30="",0,IF(IFERROR(VLOOKUP($C30,Setup!$A$2:$B$60,2,FALSE),"N")="Y",$F30,0))</f>
      </c>
      <c r="I30" s="38">
        <f>IF($C30="",0,IF(IFERROR(VLOOKUP($C30,Setup!$A$2:$B$60,2,FALSE),"N")="Y",N($D30),0))</f>
      </c>
      <c r="J30" s="37">
        <f>IF($H30&gt;0,$I30/$H30,"")</f>
      </c>
    </row>
    <row r="31" spans="1:10" x14ac:dyDescent="0.25">
      <c r="A31" s="26">
        <v>46297</v>
      </c>
      <c r="B31" s="27" t="s">
        <v>32</v>
      </c>
      <c r="C31" s="28"/>
      <c r="D31" s="29"/>
      <c r="E31" s="29"/>
      <c r="F31" s="30">
        <f>IF($C31="","",IF($E31="",30,$E31)/60)</f>
      </c>
      <c r="G31" s="30">
        <f>IF($C31="","",(30-IF($E31="",30,$E31))/60)</f>
      </c>
      <c r="H31" s="30">
        <f>IF($C31="",0,IF(IFERROR(VLOOKUP($C31,Setup!$A$2:$B$60,2,FALSE),"N")="Y",$F31,0))</f>
      </c>
      <c r="I31" s="31">
        <f>IF($C31="",0,IF(IFERROR(VLOOKUP($C31,Setup!$A$2:$B$60,2,FALSE),"N")="Y",N($D31),0))</f>
      </c>
      <c r="J31" s="30">
        <f>IF($H31&gt;0,$I31/$H31,"")</f>
      </c>
    </row>
    <row r="32" spans="1:10" x14ac:dyDescent="0.25">
      <c r="A32" s="33">
        <v>46297</v>
      </c>
      <c r="B32" s="34" t="s">
        <v>33</v>
      </c>
      <c r="C32" s="35"/>
      <c r="D32" s="36"/>
      <c r="E32" s="36"/>
      <c r="F32" s="37">
        <f>IF($C32="","",IF($E32="",30,$E32)/60)</f>
      </c>
      <c r="G32" s="37">
        <f>IF($C32="","",(30-IF($E32="",30,$E32))/60)</f>
      </c>
      <c r="H32" s="37">
        <f>IF($C32="",0,IF(IFERROR(VLOOKUP($C32,Setup!$A$2:$B$60,2,FALSE),"N")="Y",$F32,0))</f>
      </c>
      <c r="I32" s="38">
        <f>IF($C32="",0,IF(IFERROR(VLOOKUP($C32,Setup!$A$2:$B$60,2,FALSE),"N")="Y",N($D32),0))</f>
      </c>
      <c r="J32" s="37">
        <f>IF($H32&gt;0,$I32/$H32,"")</f>
      </c>
    </row>
    <row r="33" spans="1:10" x14ac:dyDescent="0.25">
      <c r="A33" s="26">
        <v>46297</v>
      </c>
      <c r="B33" s="27" t="s">
        <v>34</v>
      </c>
      <c r="C33" s="28"/>
      <c r="D33" s="29"/>
      <c r="E33" s="29"/>
      <c r="F33" s="30">
        <f>IF($C33="","",IF($E33="",30,$E33)/60)</f>
      </c>
      <c r="G33" s="30">
        <f>IF($C33="","",(30-IF($E33="",30,$E33))/60)</f>
      </c>
      <c r="H33" s="30">
        <f>IF($C33="",0,IF(IFERROR(VLOOKUP($C33,Setup!$A$2:$B$60,2,FALSE),"N")="Y",$F33,0))</f>
      </c>
      <c r="I33" s="31">
        <f>IF($C33="",0,IF(IFERROR(VLOOKUP($C33,Setup!$A$2:$B$60,2,FALSE),"N")="Y",N($D33),0))</f>
      </c>
      <c r="J33" s="30">
        <f>IF($H33&gt;0,$I33/$H33,"")</f>
      </c>
    </row>
    <row r="34" spans="1:10" x14ac:dyDescent="0.25">
      <c r="A34" s="33">
        <v>46297</v>
      </c>
      <c r="B34" s="34" t="s">
        <v>35</v>
      </c>
      <c r="C34" s="35"/>
      <c r="D34" s="36"/>
      <c r="E34" s="36"/>
      <c r="F34" s="37">
        <f>IF($C34="","",IF($E34="",30,$E34)/60)</f>
      </c>
      <c r="G34" s="37">
        <f>IF($C34="","",(30-IF($E34="",30,$E34))/60)</f>
      </c>
      <c r="H34" s="37">
        <f>IF($C34="",0,IF(IFERROR(VLOOKUP($C34,Setup!$A$2:$B$60,2,FALSE),"N")="Y",$F34,0))</f>
      </c>
      <c r="I34" s="38">
        <f>IF($C34="",0,IF(IFERROR(VLOOKUP($C34,Setup!$A$2:$B$60,2,FALSE),"N")="Y",N($D34),0))</f>
      </c>
      <c r="J34" s="37">
        <f>IF($H34&gt;0,$I34/$H34,"")</f>
      </c>
    </row>
    <row r="35" spans="1:10" x14ac:dyDescent="0.25">
      <c r="A35" s="26">
        <v>46297</v>
      </c>
      <c r="B35" s="27" t="s">
        <v>36</v>
      </c>
      <c r="C35" s="28"/>
      <c r="D35" s="29"/>
      <c r="E35" s="29"/>
      <c r="F35" s="30">
        <f>IF($C35="","",IF($E35="",30,$E35)/60)</f>
      </c>
      <c r="G35" s="30">
        <f>IF($C35="","",(30-IF($E35="",30,$E35))/60)</f>
      </c>
      <c r="H35" s="30">
        <f>IF($C35="",0,IF(IFERROR(VLOOKUP($C35,Setup!$A$2:$B$60,2,FALSE),"N")="Y",$F35,0))</f>
      </c>
      <c r="I35" s="31">
        <f>IF($C35="",0,IF(IFERROR(VLOOKUP($C35,Setup!$A$2:$B$60,2,FALSE),"N")="Y",N($D35),0))</f>
      </c>
      <c r="J35" s="30">
        <f>IF($H35&gt;0,$I35/$H35,"")</f>
      </c>
    </row>
    <row r="36" spans="1:10" x14ac:dyDescent="0.25">
      <c r="A36" s="33">
        <v>46297</v>
      </c>
      <c r="B36" s="34" t="s">
        <v>37</v>
      </c>
      <c r="C36" s="35"/>
      <c r="D36" s="36"/>
      <c r="E36" s="36"/>
      <c r="F36" s="37">
        <f>IF($C36="","",IF($E36="",30,$E36)/60)</f>
      </c>
      <c r="G36" s="37">
        <f>IF($C36="","",(30-IF($E36="",30,$E36))/60)</f>
      </c>
      <c r="H36" s="37">
        <f>IF($C36="",0,IF(IFERROR(VLOOKUP($C36,Setup!$A$2:$B$60,2,FALSE),"N")="Y",$F36,0))</f>
      </c>
      <c r="I36" s="38">
        <f>IF($C36="",0,IF(IFERROR(VLOOKUP($C36,Setup!$A$2:$B$60,2,FALSE),"N")="Y",N($D36),0))</f>
      </c>
      <c r="J36" s="37">
        <f>IF($H36&gt;0,$I36/$H36,"")</f>
      </c>
    </row>
    <row r="37" spans="1:10" x14ac:dyDescent="0.25">
      <c r="A37" s="26">
        <v>46297</v>
      </c>
      <c r="B37" s="27" t="s">
        <v>38</v>
      </c>
      <c r="C37" s="28"/>
      <c r="D37" s="29"/>
      <c r="E37" s="29"/>
      <c r="F37" s="30">
        <f>IF($C37="","",IF($E37="",30,$E37)/60)</f>
      </c>
      <c r="G37" s="30">
        <f>IF($C37="","",(30-IF($E37="",30,$E37))/60)</f>
      </c>
      <c r="H37" s="30">
        <f>IF($C37="",0,IF(IFERROR(VLOOKUP($C37,Setup!$A$2:$B$60,2,FALSE),"N")="Y",$F37,0))</f>
      </c>
      <c r="I37" s="31">
        <f>IF($C37="",0,IF(IFERROR(VLOOKUP($C37,Setup!$A$2:$B$60,2,FALSE),"N")="Y",N($D37),0))</f>
      </c>
      <c r="J37" s="30">
        <f>IF($H37&gt;0,$I37/$H37,"")</f>
      </c>
    </row>
    <row r="38" spans="1:10" x14ac:dyDescent="0.25">
      <c r="A38" s="33">
        <v>46297</v>
      </c>
      <c r="B38" s="34" t="s">
        <v>39</v>
      </c>
      <c r="C38" s="35"/>
      <c r="D38" s="36"/>
      <c r="E38" s="36"/>
      <c r="F38" s="37">
        <f>IF($C38="","",IF($E38="",30,$E38)/60)</f>
      </c>
      <c r="G38" s="37">
        <f>IF($C38="","",(30-IF($E38="",30,$E38))/60)</f>
      </c>
      <c r="H38" s="37">
        <f>IF($C38="",0,IF(IFERROR(VLOOKUP($C38,Setup!$A$2:$B$60,2,FALSE),"N")="Y",$F38,0))</f>
      </c>
      <c r="I38" s="38">
        <f>IF($C38="",0,IF(IFERROR(VLOOKUP($C38,Setup!$A$2:$B$60,2,FALSE),"N")="Y",N($D38),0))</f>
      </c>
      <c r="J38" s="37">
        <f>IF($H38&gt;0,$I38/$H38,"")</f>
      </c>
    </row>
    <row r="39" spans="1:10" x14ac:dyDescent="0.25">
      <c r="A39" s="26">
        <v>46297</v>
      </c>
      <c r="B39" s="27" t="s">
        <v>40</v>
      </c>
      <c r="C39" s="28"/>
      <c r="D39" s="29"/>
      <c r="E39" s="29"/>
      <c r="F39" s="30">
        <f>IF($C39="","",IF($E39="",30,$E39)/60)</f>
      </c>
      <c r="G39" s="30">
        <f>IF($C39="","",(30-IF($E39="",30,$E39))/60)</f>
      </c>
      <c r="H39" s="30">
        <f>IF($C39="",0,IF(IFERROR(VLOOKUP($C39,Setup!$A$2:$B$60,2,FALSE),"N")="Y",$F39,0))</f>
      </c>
      <c r="I39" s="31">
        <f>IF($C39="",0,IF(IFERROR(VLOOKUP($C39,Setup!$A$2:$B$60,2,FALSE),"N")="Y",N($D39),0))</f>
      </c>
      <c r="J39" s="30">
        <f>IF($H39&gt;0,$I39/$H39,"")</f>
      </c>
    </row>
    <row r="40" spans="1:10" x14ac:dyDescent="0.25">
      <c r="A40" s="33">
        <v>46297</v>
      </c>
      <c r="B40" s="34" t="s">
        <v>41</v>
      </c>
      <c r="C40" s="35"/>
      <c r="D40" s="36"/>
      <c r="E40" s="36"/>
      <c r="F40" s="37">
        <f>IF($C40="","",IF($E40="",30,$E40)/60)</f>
      </c>
      <c r="G40" s="37">
        <f>IF($C40="","",(30-IF($E40="",30,$E40))/60)</f>
      </c>
      <c r="H40" s="37">
        <f>IF($C40="",0,IF(IFERROR(VLOOKUP($C40,Setup!$A$2:$B$60,2,FALSE),"N")="Y",$F40,0))</f>
      </c>
      <c r="I40" s="38">
        <f>IF($C40="",0,IF(IFERROR(VLOOKUP($C40,Setup!$A$2:$B$60,2,FALSE),"N")="Y",N($D40),0))</f>
      </c>
      <c r="J40" s="37">
        <f>IF($H40&gt;0,$I40/$H40,"")</f>
      </c>
    </row>
    <row r="41" spans="1:10" x14ac:dyDescent="0.25">
      <c r="A41" s="26">
        <v>46297</v>
      </c>
      <c r="B41" s="27" t="s">
        <v>42</v>
      </c>
      <c r="C41" s="28"/>
      <c r="D41" s="29"/>
      <c r="E41" s="29"/>
      <c r="F41" s="30">
        <f>IF($C41="","",IF($E41="",30,$E41)/60)</f>
      </c>
      <c r="G41" s="30">
        <f>IF($C41="","",(30-IF($E41="",30,$E41))/60)</f>
      </c>
      <c r="H41" s="30">
        <f>IF($C41="",0,IF(IFERROR(VLOOKUP($C41,Setup!$A$2:$B$60,2,FALSE),"N")="Y",$F41,0))</f>
      </c>
      <c r="I41" s="31">
        <f>IF($C41="",0,IF(IFERROR(VLOOKUP($C41,Setup!$A$2:$B$60,2,FALSE),"N")="Y",N($D41),0))</f>
      </c>
      <c r="J41" s="30">
        <f>IF($H41&gt;0,$I41/$H41,"")</f>
      </c>
    </row>
    <row r="42" spans="1:10" x14ac:dyDescent="0.25">
      <c r="A42" s="33">
        <v>46297</v>
      </c>
      <c r="B42" s="34" t="s">
        <v>43</v>
      </c>
      <c r="C42" s="35"/>
      <c r="D42" s="36"/>
      <c r="E42" s="36"/>
      <c r="F42" s="37">
        <f>IF($C42="","",IF($E42="",30,$E42)/60)</f>
      </c>
      <c r="G42" s="37">
        <f>IF($C42="","",(30-IF($E42="",30,$E42))/60)</f>
      </c>
      <c r="H42" s="37">
        <f>IF($C42="",0,IF(IFERROR(VLOOKUP($C42,Setup!$A$2:$B$60,2,FALSE),"N")="Y",$F42,0))</f>
      </c>
      <c r="I42" s="38">
        <f>IF($C42="",0,IF(IFERROR(VLOOKUP($C42,Setup!$A$2:$B$60,2,FALSE),"N")="Y",N($D42),0))</f>
      </c>
      <c r="J42" s="37">
        <f>IF($H42&gt;0,$I42/$H42,"")</f>
      </c>
    </row>
    <row r="43" spans="2:10" x14ac:dyDescent="0.25">
      <c r="B43" s="39" t="s">
        <v>44</v>
      </c>
      <c r="C43" s="40"/>
      <c r="D43" s="41">
        <f>SUM(I25:I42)</f>
      </c>
      <c r="E43" s="40"/>
      <c r="F43" s="42">
        <f>SUM(F25:F42)</f>
      </c>
      <c r="G43" s="42">
        <f>SUM(G25:G42)</f>
      </c>
      <c r="H43" s="42">
        <f>SUM(H25:H42)</f>
      </c>
      <c r="I43" s="40"/>
      <c r="J43" s="42">
        <f>IF(H43&gt;0,D43/H43,"")</f>
      </c>
    </row>
    <row r="45" ht="26" customHeight="1" spans="2:10" x14ac:dyDescent="0.25">
      <c r="B45" s="21">
        <v>46298</v>
      </c>
      <c r="C45" s="21"/>
      <c r="D45" s="21"/>
      <c r="E45" s="22" t="s">
        <v>21</v>
      </c>
      <c r="F45" s="22"/>
      <c r="G45" s="22"/>
      <c r="H45" s="22"/>
      <c r="I45" s="22"/>
      <c r="J45" s="22"/>
    </row>
    <row r="46" ht="18" customHeight="1" spans="2:10" x14ac:dyDescent="0.25">
      <c r="B46" s="23" t="s">
        <v>22</v>
      </c>
      <c r="C46" s="23" t="s">
        <v>19</v>
      </c>
      <c r="D46" s="24" t="s">
        <v>4</v>
      </c>
      <c r="E46" s="24" t="s">
        <v>23</v>
      </c>
      <c r="F46" s="25" t="s">
        <v>13</v>
      </c>
      <c r="G46" s="25" t="s">
        <v>24</v>
      </c>
      <c r="H46" s="25" t="s">
        <v>25</v>
      </c>
      <c r="I46" s="25" t="s">
        <v>4</v>
      </c>
      <c r="J46" s="25" t="s">
        <v>14</v>
      </c>
    </row>
    <row r="47" spans="1:11" x14ac:dyDescent="0.25">
      <c r="A47" s="26">
        <v>46298</v>
      </c>
      <c r="B47" s="27" t="s">
        <v>26</v>
      </c>
      <c r="C47" s="28"/>
      <c r="D47" s="29"/>
      <c r="E47" s="29"/>
      <c r="F47" s="30">
        <f>IF($C47="","",IF($E47="",30,$E47)/60)</f>
      </c>
      <c r="G47" s="30">
        <f>IF($C47="","",(30-IF($E47="",30,$E47))/60)</f>
      </c>
      <c r="H47" s="30">
        <f>IF($C47="",0,IF(IFERROR(VLOOKUP($C47,Setup!$A$2:$B$60,2,FALSE),"N")="Y",$F47,0))</f>
      </c>
      <c r="I47" s="31">
        <f>IF($C47="",0,IF(IFERROR(VLOOKUP($C47,Setup!$A$2:$B$60,2,FALSE),"N")="Y",N($D47),0))</f>
      </c>
      <c r="J47" s="30">
        <f>IF($H47&gt;0,$I47/$H47,"")</f>
      </c>
      <c r="K47" s="32">
        <f>IF($F65&gt;0,9,0)</f>
      </c>
    </row>
    <row r="48" spans="1:10" x14ac:dyDescent="0.25">
      <c r="A48" s="33">
        <v>46298</v>
      </c>
      <c r="B48" s="34" t="s">
        <v>27</v>
      </c>
      <c r="C48" s="35"/>
      <c r="D48" s="36"/>
      <c r="E48" s="36"/>
      <c r="F48" s="37">
        <f>IF($C48="","",IF($E48="",30,$E48)/60)</f>
      </c>
      <c r="G48" s="37">
        <f>IF($C48="","",(30-IF($E48="",30,$E48))/60)</f>
      </c>
      <c r="H48" s="37">
        <f>IF($C48="",0,IF(IFERROR(VLOOKUP($C48,Setup!$A$2:$B$60,2,FALSE),"N")="Y",$F48,0))</f>
      </c>
      <c r="I48" s="38">
        <f>IF($C48="",0,IF(IFERROR(VLOOKUP($C48,Setup!$A$2:$B$60,2,FALSE),"N")="Y",N($D48),0))</f>
      </c>
      <c r="J48" s="37">
        <f>IF($H48&gt;0,$I48/$H48,"")</f>
      </c>
    </row>
    <row r="49" spans="1:10" x14ac:dyDescent="0.25">
      <c r="A49" s="26">
        <v>46298</v>
      </c>
      <c r="B49" s="27" t="s">
        <v>28</v>
      </c>
      <c r="C49" s="28"/>
      <c r="D49" s="29"/>
      <c r="E49" s="29"/>
      <c r="F49" s="30">
        <f>IF($C49="","",IF($E49="",30,$E49)/60)</f>
      </c>
      <c r="G49" s="30">
        <f>IF($C49="","",(30-IF($E49="",30,$E49))/60)</f>
      </c>
      <c r="H49" s="30">
        <f>IF($C49="",0,IF(IFERROR(VLOOKUP($C49,Setup!$A$2:$B$60,2,FALSE),"N")="Y",$F49,0))</f>
      </c>
      <c r="I49" s="31">
        <f>IF($C49="",0,IF(IFERROR(VLOOKUP($C49,Setup!$A$2:$B$60,2,FALSE),"N")="Y",N($D49),0))</f>
      </c>
      <c r="J49" s="30">
        <f>IF($H49&gt;0,$I49/$H49,"")</f>
      </c>
    </row>
    <row r="50" spans="1:10" x14ac:dyDescent="0.25">
      <c r="A50" s="33">
        <v>46298</v>
      </c>
      <c r="B50" s="34" t="s">
        <v>29</v>
      </c>
      <c r="C50" s="35"/>
      <c r="D50" s="36"/>
      <c r="E50" s="36"/>
      <c r="F50" s="37">
        <f>IF($C50="","",IF($E50="",30,$E50)/60)</f>
      </c>
      <c r="G50" s="37">
        <f>IF($C50="","",(30-IF($E50="",30,$E50))/60)</f>
      </c>
      <c r="H50" s="37">
        <f>IF($C50="",0,IF(IFERROR(VLOOKUP($C50,Setup!$A$2:$B$60,2,FALSE),"N")="Y",$F50,0))</f>
      </c>
      <c r="I50" s="38">
        <f>IF($C50="",0,IF(IFERROR(VLOOKUP($C50,Setup!$A$2:$B$60,2,FALSE),"N")="Y",N($D50),0))</f>
      </c>
      <c r="J50" s="37">
        <f>IF($H50&gt;0,$I50/$H50,"")</f>
      </c>
    </row>
    <row r="51" spans="1:10" x14ac:dyDescent="0.25">
      <c r="A51" s="26">
        <v>46298</v>
      </c>
      <c r="B51" s="27" t="s">
        <v>30</v>
      </c>
      <c r="C51" s="28"/>
      <c r="D51" s="29"/>
      <c r="E51" s="29"/>
      <c r="F51" s="30">
        <f>IF($C51="","",IF($E51="",30,$E51)/60)</f>
      </c>
      <c r="G51" s="30">
        <f>IF($C51="","",(30-IF($E51="",30,$E51))/60)</f>
      </c>
      <c r="H51" s="30">
        <f>IF($C51="",0,IF(IFERROR(VLOOKUP($C51,Setup!$A$2:$B$60,2,FALSE),"N")="Y",$F51,0))</f>
      </c>
      <c r="I51" s="31">
        <f>IF($C51="",0,IF(IFERROR(VLOOKUP($C51,Setup!$A$2:$B$60,2,FALSE),"N")="Y",N($D51),0))</f>
      </c>
      <c r="J51" s="30">
        <f>IF($H51&gt;0,$I51/$H51,"")</f>
      </c>
    </row>
    <row r="52" spans="1:10" x14ac:dyDescent="0.25">
      <c r="A52" s="33">
        <v>46298</v>
      </c>
      <c r="B52" s="34" t="s">
        <v>31</v>
      </c>
      <c r="C52" s="35"/>
      <c r="D52" s="36"/>
      <c r="E52" s="36"/>
      <c r="F52" s="37">
        <f>IF($C52="","",IF($E52="",30,$E52)/60)</f>
      </c>
      <c r="G52" s="37">
        <f>IF($C52="","",(30-IF($E52="",30,$E52))/60)</f>
      </c>
      <c r="H52" s="37">
        <f>IF($C52="",0,IF(IFERROR(VLOOKUP($C52,Setup!$A$2:$B$60,2,FALSE),"N")="Y",$F52,0))</f>
      </c>
      <c r="I52" s="38">
        <f>IF($C52="",0,IF(IFERROR(VLOOKUP($C52,Setup!$A$2:$B$60,2,FALSE),"N")="Y",N($D52),0))</f>
      </c>
      <c r="J52" s="37">
        <f>IF($H52&gt;0,$I52/$H52,"")</f>
      </c>
    </row>
    <row r="53" spans="1:10" x14ac:dyDescent="0.25">
      <c r="A53" s="26">
        <v>46298</v>
      </c>
      <c r="B53" s="27" t="s">
        <v>32</v>
      </c>
      <c r="C53" s="28"/>
      <c r="D53" s="29"/>
      <c r="E53" s="29"/>
      <c r="F53" s="30">
        <f>IF($C53="","",IF($E53="",30,$E53)/60)</f>
      </c>
      <c r="G53" s="30">
        <f>IF($C53="","",(30-IF($E53="",30,$E53))/60)</f>
      </c>
      <c r="H53" s="30">
        <f>IF($C53="",0,IF(IFERROR(VLOOKUP($C53,Setup!$A$2:$B$60,2,FALSE),"N")="Y",$F53,0))</f>
      </c>
      <c r="I53" s="31">
        <f>IF($C53="",0,IF(IFERROR(VLOOKUP($C53,Setup!$A$2:$B$60,2,FALSE),"N")="Y",N($D53),0))</f>
      </c>
      <c r="J53" s="30">
        <f>IF($H53&gt;0,$I53/$H53,"")</f>
      </c>
    </row>
    <row r="54" spans="1:10" x14ac:dyDescent="0.25">
      <c r="A54" s="33">
        <v>46298</v>
      </c>
      <c r="B54" s="34" t="s">
        <v>33</v>
      </c>
      <c r="C54" s="35"/>
      <c r="D54" s="36"/>
      <c r="E54" s="36"/>
      <c r="F54" s="37">
        <f>IF($C54="","",IF($E54="",30,$E54)/60)</f>
      </c>
      <c r="G54" s="37">
        <f>IF($C54="","",(30-IF($E54="",30,$E54))/60)</f>
      </c>
      <c r="H54" s="37">
        <f>IF($C54="",0,IF(IFERROR(VLOOKUP($C54,Setup!$A$2:$B$60,2,FALSE),"N")="Y",$F54,0))</f>
      </c>
      <c r="I54" s="38">
        <f>IF($C54="",0,IF(IFERROR(VLOOKUP($C54,Setup!$A$2:$B$60,2,FALSE),"N")="Y",N($D54),0))</f>
      </c>
      <c r="J54" s="37">
        <f>IF($H54&gt;0,$I54/$H54,"")</f>
      </c>
    </row>
    <row r="55" spans="1:10" x14ac:dyDescent="0.25">
      <c r="A55" s="26">
        <v>46298</v>
      </c>
      <c r="B55" s="27" t="s">
        <v>34</v>
      </c>
      <c r="C55" s="28"/>
      <c r="D55" s="29"/>
      <c r="E55" s="29"/>
      <c r="F55" s="30">
        <f>IF($C55="","",IF($E55="",30,$E55)/60)</f>
      </c>
      <c r="G55" s="30">
        <f>IF($C55="","",(30-IF($E55="",30,$E55))/60)</f>
      </c>
      <c r="H55" s="30">
        <f>IF($C55="",0,IF(IFERROR(VLOOKUP($C55,Setup!$A$2:$B$60,2,FALSE),"N")="Y",$F55,0))</f>
      </c>
      <c r="I55" s="31">
        <f>IF($C55="",0,IF(IFERROR(VLOOKUP($C55,Setup!$A$2:$B$60,2,FALSE),"N")="Y",N($D55),0))</f>
      </c>
      <c r="J55" s="30">
        <f>IF($H55&gt;0,$I55/$H55,"")</f>
      </c>
    </row>
    <row r="56" spans="1:10" x14ac:dyDescent="0.25">
      <c r="A56" s="33">
        <v>46298</v>
      </c>
      <c r="B56" s="34" t="s">
        <v>35</v>
      </c>
      <c r="C56" s="35"/>
      <c r="D56" s="36"/>
      <c r="E56" s="36"/>
      <c r="F56" s="37">
        <f>IF($C56="","",IF($E56="",30,$E56)/60)</f>
      </c>
      <c r="G56" s="37">
        <f>IF($C56="","",(30-IF($E56="",30,$E56))/60)</f>
      </c>
      <c r="H56" s="37">
        <f>IF($C56="",0,IF(IFERROR(VLOOKUP($C56,Setup!$A$2:$B$60,2,FALSE),"N")="Y",$F56,0))</f>
      </c>
      <c r="I56" s="38">
        <f>IF($C56="",0,IF(IFERROR(VLOOKUP($C56,Setup!$A$2:$B$60,2,FALSE),"N")="Y",N($D56),0))</f>
      </c>
      <c r="J56" s="37">
        <f>IF($H56&gt;0,$I56/$H56,"")</f>
      </c>
    </row>
    <row r="57" spans="1:10" x14ac:dyDescent="0.25">
      <c r="A57" s="26">
        <v>46298</v>
      </c>
      <c r="B57" s="27" t="s">
        <v>36</v>
      </c>
      <c r="C57" s="28"/>
      <c r="D57" s="29"/>
      <c r="E57" s="29"/>
      <c r="F57" s="30">
        <f>IF($C57="","",IF($E57="",30,$E57)/60)</f>
      </c>
      <c r="G57" s="30">
        <f>IF($C57="","",(30-IF($E57="",30,$E57))/60)</f>
      </c>
      <c r="H57" s="30">
        <f>IF($C57="",0,IF(IFERROR(VLOOKUP($C57,Setup!$A$2:$B$60,2,FALSE),"N")="Y",$F57,0))</f>
      </c>
      <c r="I57" s="31">
        <f>IF($C57="",0,IF(IFERROR(VLOOKUP($C57,Setup!$A$2:$B$60,2,FALSE),"N")="Y",N($D57),0))</f>
      </c>
      <c r="J57" s="30">
        <f>IF($H57&gt;0,$I57/$H57,"")</f>
      </c>
    </row>
    <row r="58" spans="1:10" x14ac:dyDescent="0.25">
      <c r="A58" s="33">
        <v>46298</v>
      </c>
      <c r="B58" s="34" t="s">
        <v>37</v>
      </c>
      <c r="C58" s="35"/>
      <c r="D58" s="36"/>
      <c r="E58" s="36"/>
      <c r="F58" s="37">
        <f>IF($C58="","",IF($E58="",30,$E58)/60)</f>
      </c>
      <c r="G58" s="37">
        <f>IF($C58="","",(30-IF($E58="",30,$E58))/60)</f>
      </c>
      <c r="H58" s="37">
        <f>IF($C58="",0,IF(IFERROR(VLOOKUP($C58,Setup!$A$2:$B$60,2,FALSE),"N")="Y",$F58,0))</f>
      </c>
      <c r="I58" s="38">
        <f>IF($C58="",0,IF(IFERROR(VLOOKUP($C58,Setup!$A$2:$B$60,2,FALSE),"N")="Y",N($D58),0))</f>
      </c>
      <c r="J58" s="37">
        <f>IF($H58&gt;0,$I58/$H58,"")</f>
      </c>
    </row>
    <row r="59" spans="1:10" x14ac:dyDescent="0.25">
      <c r="A59" s="26">
        <v>46298</v>
      </c>
      <c r="B59" s="27" t="s">
        <v>38</v>
      </c>
      <c r="C59" s="28"/>
      <c r="D59" s="29"/>
      <c r="E59" s="29"/>
      <c r="F59" s="30">
        <f>IF($C59="","",IF($E59="",30,$E59)/60)</f>
      </c>
      <c r="G59" s="30">
        <f>IF($C59="","",(30-IF($E59="",30,$E59))/60)</f>
      </c>
      <c r="H59" s="30">
        <f>IF($C59="",0,IF(IFERROR(VLOOKUP($C59,Setup!$A$2:$B$60,2,FALSE),"N")="Y",$F59,0))</f>
      </c>
      <c r="I59" s="31">
        <f>IF($C59="",0,IF(IFERROR(VLOOKUP($C59,Setup!$A$2:$B$60,2,FALSE),"N")="Y",N($D59),0))</f>
      </c>
      <c r="J59" s="30">
        <f>IF($H59&gt;0,$I59/$H59,"")</f>
      </c>
    </row>
    <row r="60" spans="1:10" x14ac:dyDescent="0.25">
      <c r="A60" s="33">
        <v>46298</v>
      </c>
      <c r="B60" s="34" t="s">
        <v>39</v>
      </c>
      <c r="C60" s="35"/>
      <c r="D60" s="36"/>
      <c r="E60" s="36"/>
      <c r="F60" s="37">
        <f>IF($C60="","",IF($E60="",30,$E60)/60)</f>
      </c>
      <c r="G60" s="37">
        <f>IF($C60="","",(30-IF($E60="",30,$E60))/60)</f>
      </c>
      <c r="H60" s="37">
        <f>IF($C60="",0,IF(IFERROR(VLOOKUP($C60,Setup!$A$2:$B$60,2,FALSE),"N")="Y",$F60,0))</f>
      </c>
      <c r="I60" s="38">
        <f>IF($C60="",0,IF(IFERROR(VLOOKUP($C60,Setup!$A$2:$B$60,2,FALSE),"N")="Y",N($D60),0))</f>
      </c>
      <c r="J60" s="37">
        <f>IF($H60&gt;0,$I60/$H60,"")</f>
      </c>
    </row>
    <row r="61" spans="1:10" x14ac:dyDescent="0.25">
      <c r="A61" s="26">
        <v>46298</v>
      </c>
      <c r="B61" s="27" t="s">
        <v>40</v>
      </c>
      <c r="C61" s="28"/>
      <c r="D61" s="29"/>
      <c r="E61" s="29"/>
      <c r="F61" s="30">
        <f>IF($C61="","",IF($E61="",30,$E61)/60)</f>
      </c>
      <c r="G61" s="30">
        <f>IF($C61="","",(30-IF($E61="",30,$E61))/60)</f>
      </c>
      <c r="H61" s="30">
        <f>IF($C61="",0,IF(IFERROR(VLOOKUP($C61,Setup!$A$2:$B$60,2,FALSE),"N")="Y",$F61,0))</f>
      </c>
      <c r="I61" s="31">
        <f>IF($C61="",0,IF(IFERROR(VLOOKUP($C61,Setup!$A$2:$B$60,2,FALSE),"N")="Y",N($D61),0))</f>
      </c>
      <c r="J61" s="30">
        <f>IF($H61&gt;0,$I61/$H61,"")</f>
      </c>
    </row>
    <row r="62" spans="1:10" x14ac:dyDescent="0.25">
      <c r="A62" s="33">
        <v>46298</v>
      </c>
      <c r="B62" s="34" t="s">
        <v>41</v>
      </c>
      <c r="C62" s="35"/>
      <c r="D62" s="36"/>
      <c r="E62" s="36"/>
      <c r="F62" s="37">
        <f>IF($C62="","",IF($E62="",30,$E62)/60)</f>
      </c>
      <c r="G62" s="37">
        <f>IF($C62="","",(30-IF($E62="",30,$E62))/60)</f>
      </c>
      <c r="H62" s="37">
        <f>IF($C62="",0,IF(IFERROR(VLOOKUP($C62,Setup!$A$2:$B$60,2,FALSE),"N")="Y",$F62,0))</f>
      </c>
      <c r="I62" s="38">
        <f>IF($C62="",0,IF(IFERROR(VLOOKUP($C62,Setup!$A$2:$B$60,2,FALSE),"N")="Y",N($D62),0))</f>
      </c>
      <c r="J62" s="37">
        <f>IF($H62&gt;0,$I62/$H62,"")</f>
      </c>
    </row>
    <row r="63" spans="1:10" x14ac:dyDescent="0.25">
      <c r="A63" s="26">
        <v>46298</v>
      </c>
      <c r="B63" s="27" t="s">
        <v>42</v>
      </c>
      <c r="C63" s="28"/>
      <c r="D63" s="29"/>
      <c r="E63" s="29"/>
      <c r="F63" s="30">
        <f>IF($C63="","",IF($E63="",30,$E63)/60)</f>
      </c>
      <c r="G63" s="30">
        <f>IF($C63="","",(30-IF($E63="",30,$E63))/60)</f>
      </c>
      <c r="H63" s="30">
        <f>IF($C63="",0,IF(IFERROR(VLOOKUP($C63,Setup!$A$2:$B$60,2,FALSE),"N")="Y",$F63,0))</f>
      </c>
      <c r="I63" s="31">
        <f>IF($C63="",0,IF(IFERROR(VLOOKUP($C63,Setup!$A$2:$B$60,2,FALSE),"N")="Y",N($D63),0))</f>
      </c>
      <c r="J63" s="30">
        <f>IF($H63&gt;0,$I63/$H63,"")</f>
      </c>
    </row>
    <row r="64" spans="1:10" x14ac:dyDescent="0.25">
      <c r="A64" s="33">
        <v>46298</v>
      </c>
      <c r="B64" s="34" t="s">
        <v>43</v>
      </c>
      <c r="C64" s="35"/>
      <c r="D64" s="36"/>
      <c r="E64" s="36"/>
      <c r="F64" s="37">
        <f>IF($C64="","",IF($E64="",30,$E64)/60)</f>
      </c>
      <c r="G64" s="37">
        <f>IF($C64="","",(30-IF($E64="",30,$E64))/60)</f>
      </c>
      <c r="H64" s="37">
        <f>IF($C64="",0,IF(IFERROR(VLOOKUP($C64,Setup!$A$2:$B$60,2,FALSE),"N")="Y",$F64,0))</f>
      </c>
      <c r="I64" s="38">
        <f>IF($C64="",0,IF(IFERROR(VLOOKUP($C64,Setup!$A$2:$B$60,2,FALSE),"N")="Y",N($D64),0))</f>
      </c>
      <c r="J64" s="37">
        <f>IF($H64&gt;0,$I64/$H64,"")</f>
      </c>
    </row>
    <row r="65" spans="2:10" x14ac:dyDescent="0.25">
      <c r="B65" s="39" t="s">
        <v>44</v>
      </c>
      <c r="C65" s="40"/>
      <c r="D65" s="41">
        <f>SUM(I47:I64)</f>
      </c>
      <c r="E65" s="40"/>
      <c r="F65" s="42">
        <f>SUM(F47:F64)</f>
      </c>
      <c r="G65" s="42">
        <f>SUM(G47:G64)</f>
      </c>
      <c r="H65" s="42">
        <f>SUM(H47:H64)</f>
      </c>
      <c r="I65" s="40"/>
      <c r="J65" s="42">
        <f>IF(H65&gt;0,D65/H65,"")</f>
      </c>
    </row>
    <row r="67" ht="26" customHeight="1" spans="2:10" x14ac:dyDescent="0.25">
      <c r="B67" s="21">
        <v>46299</v>
      </c>
      <c r="C67" s="21"/>
      <c r="D67" s="21"/>
      <c r="E67" s="22" t="s">
        <v>21</v>
      </c>
      <c r="F67" s="22"/>
      <c r="G67" s="22"/>
      <c r="H67" s="22"/>
      <c r="I67" s="22"/>
      <c r="J67" s="22"/>
    </row>
    <row r="68" ht="18" customHeight="1" spans="2:10" x14ac:dyDescent="0.25">
      <c r="B68" s="23" t="s">
        <v>22</v>
      </c>
      <c r="C68" s="23" t="s">
        <v>19</v>
      </c>
      <c r="D68" s="24" t="s">
        <v>4</v>
      </c>
      <c r="E68" s="24" t="s">
        <v>23</v>
      </c>
      <c r="F68" s="25" t="s">
        <v>13</v>
      </c>
      <c r="G68" s="25" t="s">
        <v>24</v>
      </c>
      <c r="H68" s="25" t="s">
        <v>25</v>
      </c>
      <c r="I68" s="25" t="s">
        <v>4</v>
      </c>
      <c r="J68" s="25" t="s">
        <v>14</v>
      </c>
    </row>
    <row r="69" spans="1:11" x14ac:dyDescent="0.25">
      <c r="A69" s="26">
        <v>46299</v>
      </c>
      <c r="B69" s="27" t="s">
        <v>26</v>
      </c>
      <c r="C69" s="28"/>
      <c r="D69" s="29"/>
      <c r="E69" s="29"/>
      <c r="F69" s="30">
        <f>IF($C69="","",IF($E69="",30,$E69)/60)</f>
      </c>
      <c r="G69" s="30">
        <f>IF($C69="","",(30-IF($E69="",30,$E69))/60)</f>
      </c>
      <c r="H69" s="30">
        <f>IF($C69="",0,IF(IFERROR(VLOOKUP($C69,Setup!$A$2:$B$60,2,FALSE),"N")="Y",$F69,0))</f>
      </c>
      <c r="I69" s="31">
        <f>IF($C69="",0,IF(IFERROR(VLOOKUP($C69,Setup!$A$2:$B$60,2,FALSE),"N")="Y",N($D69),0))</f>
      </c>
      <c r="J69" s="30">
        <f>IF($H69&gt;0,$I69/$H69,"")</f>
      </c>
      <c r="K69" s="32">
        <f>IF($F87&gt;0,9,0)</f>
      </c>
    </row>
    <row r="70" spans="1:10" x14ac:dyDescent="0.25">
      <c r="A70" s="33">
        <v>46299</v>
      </c>
      <c r="B70" s="34" t="s">
        <v>27</v>
      </c>
      <c r="C70" s="35"/>
      <c r="D70" s="36"/>
      <c r="E70" s="36"/>
      <c r="F70" s="37">
        <f>IF($C70="","",IF($E70="",30,$E70)/60)</f>
      </c>
      <c r="G70" s="37">
        <f>IF($C70="","",(30-IF($E70="",30,$E70))/60)</f>
      </c>
      <c r="H70" s="37">
        <f>IF($C70="",0,IF(IFERROR(VLOOKUP($C70,Setup!$A$2:$B$60,2,FALSE),"N")="Y",$F70,0))</f>
      </c>
      <c r="I70" s="38">
        <f>IF($C70="",0,IF(IFERROR(VLOOKUP($C70,Setup!$A$2:$B$60,2,FALSE),"N")="Y",N($D70),0))</f>
      </c>
      <c r="J70" s="37">
        <f>IF($H70&gt;0,$I70/$H70,"")</f>
      </c>
    </row>
    <row r="71" spans="1:10" x14ac:dyDescent="0.25">
      <c r="A71" s="26">
        <v>46299</v>
      </c>
      <c r="B71" s="27" t="s">
        <v>28</v>
      </c>
      <c r="C71" s="28"/>
      <c r="D71" s="29"/>
      <c r="E71" s="29"/>
      <c r="F71" s="30">
        <f>IF($C71="","",IF($E71="",30,$E71)/60)</f>
      </c>
      <c r="G71" s="30">
        <f>IF($C71="","",(30-IF($E71="",30,$E71))/60)</f>
      </c>
      <c r="H71" s="30">
        <f>IF($C71="",0,IF(IFERROR(VLOOKUP($C71,Setup!$A$2:$B$60,2,FALSE),"N")="Y",$F71,0))</f>
      </c>
      <c r="I71" s="31">
        <f>IF($C71="",0,IF(IFERROR(VLOOKUP($C71,Setup!$A$2:$B$60,2,FALSE),"N")="Y",N($D71),0))</f>
      </c>
      <c r="J71" s="30">
        <f>IF($H71&gt;0,$I71/$H71,"")</f>
      </c>
    </row>
    <row r="72" spans="1:10" x14ac:dyDescent="0.25">
      <c r="A72" s="33">
        <v>46299</v>
      </c>
      <c r="B72" s="34" t="s">
        <v>29</v>
      </c>
      <c r="C72" s="35"/>
      <c r="D72" s="36"/>
      <c r="E72" s="36"/>
      <c r="F72" s="37">
        <f>IF($C72="","",IF($E72="",30,$E72)/60)</f>
      </c>
      <c r="G72" s="37">
        <f>IF($C72="","",(30-IF($E72="",30,$E72))/60)</f>
      </c>
      <c r="H72" s="37">
        <f>IF($C72="",0,IF(IFERROR(VLOOKUP($C72,Setup!$A$2:$B$60,2,FALSE),"N")="Y",$F72,0))</f>
      </c>
      <c r="I72" s="38">
        <f>IF($C72="",0,IF(IFERROR(VLOOKUP($C72,Setup!$A$2:$B$60,2,FALSE),"N")="Y",N($D72),0))</f>
      </c>
      <c r="J72" s="37">
        <f>IF($H72&gt;0,$I72/$H72,"")</f>
      </c>
    </row>
    <row r="73" spans="1:10" x14ac:dyDescent="0.25">
      <c r="A73" s="26">
        <v>46299</v>
      </c>
      <c r="B73" s="27" t="s">
        <v>30</v>
      </c>
      <c r="C73" s="28"/>
      <c r="D73" s="29"/>
      <c r="E73" s="29"/>
      <c r="F73" s="30">
        <f>IF($C73="","",IF($E73="",30,$E73)/60)</f>
      </c>
      <c r="G73" s="30">
        <f>IF($C73="","",(30-IF($E73="",30,$E73))/60)</f>
      </c>
      <c r="H73" s="30">
        <f>IF($C73="",0,IF(IFERROR(VLOOKUP($C73,Setup!$A$2:$B$60,2,FALSE),"N")="Y",$F73,0))</f>
      </c>
      <c r="I73" s="31">
        <f>IF($C73="",0,IF(IFERROR(VLOOKUP($C73,Setup!$A$2:$B$60,2,FALSE),"N")="Y",N($D73),0))</f>
      </c>
      <c r="J73" s="30">
        <f>IF($H73&gt;0,$I73/$H73,"")</f>
      </c>
    </row>
    <row r="74" spans="1:10" x14ac:dyDescent="0.25">
      <c r="A74" s="33">
        <v>46299</v>
      </c>
      <c r="B74" s="34" t="s">
        <v>31</v>
      </c>
      <c r="C74" s="35"/>
      <c r="D74" s="36"/>
      <c r="E74" s="36"/>
      <c r="F74" s="37">
        <f>IF($C74="","",IF($E74="",30,$E74)/60)</f>
      </c>
      <c r="G74" s="37">
        <f>IF($C74="","",(30-IF($E74="",30,$E74))/60)</f>
      </c>
      <c r="H74" s="37">
        <f>IF($C74="",0,IF(IFERROR(VLOOKUP($C74,Setup!$A$2:$B$60,2,FALSE),"N")="Y",$F74,0))</f>
      </c>
      <c r="I74" s="38">
        <f>IF($C74="",0,IF(IFERROR(VLOOKUP($C74,Setup!$A$2:$B$60,2,FALSE),"N")="Y",N($D74),0))</f>
      </c>
      <c r="J74" s="37">
        <f>IF($H74&gt;0,$I74/$H74,"")</f>
      </c>
    </row>
    <row r="75" spans="1:10" x14ac:dyDescent="0.25">
      <c r="A75" s="26">
        <v>46299</v>
      </c>
      <c r="B75" s="27" t="s">
        <v>32</v>
      </c>
      <c r="C75" s="28"/>
      <c r="D75" s="29"/>
      <c r="E75" s="29"/>
      <c r="F75" s="30">
        <f>IF($C75="","",IF($E75="",30,$E75)/60)</f>
      </c>
      <c r="G75" s="30">
        <f>IF($C75="","",(30-IF($E75="",30,$E75))/60)</f>
      </c>
      <c r="H75" s="30">
        <f>IF($C75="",0,IF(IFERROR(VLOOKUP($C75,Setup!$A$2:$B$60,2,FALSE),"N")="Y",$F75,0))</f>
      </c>
      <c r="I75" s="31">
        <f>IF($C75="",0,IF(IFERROR(VLOOKUP($C75,Setup!$A$2:$B$60,2,FALSE),"N")="Y",N($D75),0))</f>
      </c>
      <c r="J75" s="30">
        <f>IF($H75&gt;0,$I75/$H75,"")</f>
      </c>
    </row>
    <row r="76" spans="1:10" x14ac:dyDescent="0.25">
      <c r="A76" s="33">
        <v>46299</v>
      </c>
      <c r="B76" s="34" t="s">
        <v>33</v>
      </c>
      <c r="C76" s="35"/>
      <c r="D76" s="36"/>
      <c r="E76" s="36"/>
      <c r="F76" s="37">
        <f>IF($C76="","",IF($E76="",30,$E76)/60)</f>
      </c>
      <c r="G76" s="37">
        <f>IF($C76="","",(30-IF($E76="",30,$E76))/60)</f>
      </c>
      <c r="H76" s="37">
        <f>IF($C76="",0,IF(IFERROR(VLOOKUP($C76,Setup!$A$2:$B$60,2,FALSE),"N")="Y",$F76,0))</f>
      </c>
      <c r="I76" s="38">
        <f>IF($C76="",0,IF(IFERROR(VLOOKUP($C76,Setup!$A$2:$B$60,2,FALSE),"N")="Y",N($D76),0))</f>
      </c>
      <c r="J76" s="37">
        <f>IF($H76&gt;0,$I76/$H76,"")</f>
      </c>
    </row>
    <row r="77" spans="1:10" x14ac:dyDescent="0.25">
      <c r="A77" s="26">
        <v>46299</v>
      </c>
      <c r="B77" s="27" t="s">
        <v>34</v>
      </c>
      <c r="C77" s="28"/>
      <c r="D77" s="29"/>
      <c r="E77" s="29"/>
      <c r="F77" s="30">
        <f>IF($C77="","",IF($E77="",30,$E77)/60)</f>
      </c>
      <c r="G77" s="30">
        <f>IF($C77="","",(30-IF($E77="",30,$E77))/60)</f>
      </c>
      <c r="H77" s="30">
        <f>IF($C77="",0,IF(IFERROR(VLOOKUP($C77,Setup!$A$2:$B$60,2,FALSE),"N")="Y",$F77,0))</f>
      </c>
      <c r="I77" s="31">
        <f>IF($C77="",0,IF(IFERROR(VLOOKUP($C77,Setup!$A$2:$B$60,2,FALSE),"N")="Y",N($D77),0))</f>
      </c>
      <c r="J77" s="30">
        <f>IF($H77&gt;0,$I77/$H77,"")</f>
      </c>
    </row>
    <row r="78" spans="1:10" x14ac:dyDescent="0.25">
      <c r="A78" s="33">
        <v>46299</v>
      </c>
      <c r="B78" s="34" t="s">
        <v>35</v>
      </c>
      <c r="C78" s="35"/>
      <c r="D78" s="36"/>
      <c r="E78" s="36"/>
      <c r="F78" s="37">
        <f>IF($C78="","",IF($E78="",30,$E78)/60)</f>
      </c>
      <c r="G78" s="37">
        <f>IF($C78="","",(30-IF($E78="",30,$E78))/60)</f>
      </c>
      <c r="H78" s="37">
        <f>IF($C78="",0,IF(IFERROR(VLOOKUP($C78,Setup!$A$2:$B$60,2,FALSE),"N")="Y",$F78,0))</f>
      </c>
      <c r="I78" s="38">
        <f>IF($C78="",0,IF(IFERROR(VLOOKUP($C78,Setup!$A$2:$B$60,2,FALSE),"N")="Y",N($D78),0))</f>
      </c>
      <c r="J78" s="37">
        <f>IF($H78&gt;0,$I78/$H78,"")</f>
      </c>
    </row>
    <row r="79" spans="1:10" x14ac:dyDescent="0.25">
      <c r="A79" s="26">
        <v>46299</v>
      </c>
      <c r="B79" s="27" t="s">
        <v>36</v>
      </c>
      <c r="C79" s="28"/>
      <c r="D79" s="29"/>
      <c r="E79" s="29"/>
      <c r="F79" s="30">
        <f>IF($C79="","",IF($E79="",30,$E79)/60)</f>
      </c>
      <c r="G79" s="30">
        <f>IF($C79="","",(30-IF($E79="",30,$E79))/60)</f>
      </c>
      <c r="H79" s="30">
        <f>IF($C79="",0,IF(IFERROR(VLOOKUP($C79,Setup!$A$2:$B$60,2,FALSE),"N")="Y",$F79,0))</f>
      </c>
      <c r="I79" s="31">
        <f>IF($C79="",0,IF(IFERROR(VLOOKUP($C79,Setup!$A$2:$B$60,2,FALSE),"N")="Y",N($D79),0))</f>
      </c>
      <c r="J79" s="30">
        <f>IF($H79&gt;0,$I79/$H79,"")</f>
      </c>
    </row>
    <row r="80" spans="1:10" x14ac:dyDescent="0.25">
      <c r="A80" s="33">
        <v>46299</v>
      </c>
      <c r="B80" s="34" t="s">
        <v>37</v>
      </c>
      <c r="C80" s="35"/>
      <c r="D80" s="36"/>
      <c r="E80" s="36"/>
      <c r="F80" s="37">
        <f>IF($C80="","",IF($E80="",30,$E80)/60)</f>
      </c>
      <c r="G80" s="37">
        <f>IF($C80="","",(30-IF($E80="",30,$E80))/60)</f>
      </c>
      <c r="H80" s="37">
        <f>IF($C80="",0,IF(IFERROR(VLOOKUP($C80,Setup!$A$2:$B$60,2,FALSE),"N")="Y",$F80,0))</f>
      </c>
      <c r="I80" s="38">
        <f>IF($C80="",0,IF(IFERROR(VLOOKUP($C80,Setup!$A$2:$B$60,2,FALSE),"N")="Y",N($D80),0))</f>
      </c>
      <c r="J80" s="37">
        <f>IF($H80&gt;0,$I80/$H80,"")</f>
      </c>
    </row>
    <row r="81" spans="1:10" x14ac:dyDescent="0.25">
      <c r="A81" s="26">
        <v>46299</v>
      </c>
      <c r="B81" s="27" t="s">
        <v>38</v>
      </c>
      <c r="C81" s="28"/>
      <c r="D81" s="29"/>
      <c r="E81" s="29"/>
      <c r="F81" s="30">
        <f>IF($C81="","",IF($E81="",30,$E81)/60)</f>
      </c>
      <c r="G81" s="30">
        <f>IF($C81="","",(30-IF($E81="",30,$E81))/60)</f>
      </c>
      <c r="H81" s="30">
        <f>IF($C81="",0,IF(IFERROR(VLOOKUP($C81,Setup!$A$2:$B$60,2,FALSE),"N")="Y",$F81,0))</f>
      </c>
      <c r="I81" s="31">
        <f>IF($C81="",0,IF(IFERROR(VLOOKUP($C81,Setup!$A$2:$B$60,2,FALSE),"N")="Y",N($D81),0))</f>
      </c>
      <c r="J81" s="30">
        <f>IF($H81&gt;0,$I81/$H81,"")</f>
      </c>
    </row>
    <row r="82" spans="1:10" x14ac:dyDescent="0.25">
      <c r="A82" s="33">
        <v>46299</v>
      </c>
      <c r="B82" s="34" t="s">
        <v>39</v>
      </c>
      <c r="C82" s="35"/>
      <c r="D82" s="36"/>
      <c r="E82" s="36"/>
      <c r="F82" s="37">
        <f>IF($C82="","",IF($E82="",30,$E82)/60)</f>
      </c>
      <c r="G82" s="37">
        <f>IF($C82="","",(30-IF($E82="",30,$E82))/60)</f>
      </c>
      <c r="H82" s="37">
        <f>IF($C82="",0,IF(IFERROR(VLOOKUP($C82,Setup!$A$2:$B$60,2,FALSE),"N")="Y",$F82,0))</f>
      </c>
      <c r="I82" s="38">
        <f>IF($C82="",0,IF(IFERROR(VLOOKUP($C82,Setup!$A$2:$B$60,2,FALSE),"N")="Y",N($D82),0))</f>
      </c>
      <c r="J82" s="37">
        <f>IF($H82&gt;0,$I82/$H82,"")</f>
      </c>
    </row>
    <row r="83" spans="1:10" x14ac:dyDescent="0.25">
      <c r="A83" s="26">
        <v>46299</v>
      </c>
      <c r="B83" s="27" t="s">
        <v>40</v>
      </c>
      <c r="C83" s="28"/>
      <c r="D83" s="29"/>
      <c r="E83" s="29"/>
      <c r="F83" s="30">
        <f>IF($C83="","",IF($E83="",30,$E83)/60)</f>
      </c>
      <c r="G83" s="30">
        <f>IF($C83="","",(30-IF($E83="",30,$E83))/60)</f>
      </c>
      <c r="H83" s="30">
        <f>IF($C83="",0,IF(IFERROR(VLOOKUP($C83,Setup!$A$2:$B$60,2,FALSE),"N")="Y",$F83,0))</f>
      </c>
      <c r="I83" s="31">
        <f>IF($C83="",0,IF(IFERROR(VLOOKUP($C83,Setup!$A$2:$B$60,2,FALSE),"N")="Y",N($D83),0))</f>
      </c>
      <c r="J83" s="30">
        <f>IF($H83&gt;0,$I83/$H83,"")</f>
      </c>
    </row>
    <row r="84" spans="1:10" x14ac:dyDescent="0.25">
      <c r="A84" s="33">
        <v>46299</v>
      </c>
      <c r="B84" s="34" t="s">
        <v>41</v>
      </c>
      <c r="C84" s="35"/>
      <c r="D84" s="36"/>
      <c r="E84" s="36"/>
      <c r="F84" s="37">
        <f>IF($C84="","",IF($E84="",30,$E84)/60)</f>
      </c>
      <c r="G84" s="37">
        <f>IF($C84="","",(30-IF($E84="",30,$E84))/60)</f>
      </c>
      <c r="H84" s="37">
        <f>IF($C84="",0,IF(IFERROR(VLOOKUP($C84,Setup!$A$2:$B$60,2,FALSE),"N")="Y",$F84,0))</f>
      </c>
      <c r="I84" s="38">
        <f>IF($C84="",0,IF(IFERROR(VLOOKUP($C84,Setup!$A$2:$B$60,2,FALSE),"N")="Y",N($D84),0))</f>
      </c>
      <c r="J84" s="37">
        <f>IF($H84&gt;0,$I84/$H84,"")</f>
      </c>
    </row>
    <row r="85" spans="1:10" x14ac:dyDescent="0.25">
      <c r="A85" s="26">
        <v>46299</v>
      </c>
      <c r="B85" s="27" t="s">
        <v>42</v>
      </c>
      <c r="C85" s="28"/>
      <c r="D85" s="29"/>
      <c r="E85" s="29"/>
      <c r="F85" s="30">
        <f>IF($C85="","",IF($E85="",30,$E85)/60)</f>
      </c>
      <c r="G85" s="30">
        <f>IF($C85="","",(30-IF($E85="",30,$E85))/60)</f>
      </c>
      <c r="H85" s="30">
        <f>IF($C85="",0,IF(IFERROR(VLOOKUP($C85,Setup!$A$2:$B$60,2,FALSE),"N")="Y",$F85,0))</f>
      </c>
      <c r="I85" s="31">
        <f>IF($C85="",0,IF(IFERROR(VLOOKUP($C85,Setup!$A$2:$B$60,2,FALSE),"N")="Y",N($D85),0))</f>
      </c>
      <c r="J85" s="30">
        <f>IF($H85&gt;0,$I85/$H85,"")</f>
      </c>
    </row>
    <row r="86" spans="1:10" x14ac:dyDescent="0.25">
      <c r="A86" s="33">
        <v>46299</v>
      </c>
      <c r="B86" s="34" t="s">
        <v>43</v>
      </c>
      <c r="C86" s="35"/>
      <c r="D86" s="36"/>
      <c r="E86" s="36"/>
      <c r="F86" s="37">
        <f>IF($C86="","",IF($E86="",30,$E86)/60)</f>
      </c>
      <c r="G86" s="37">
        <f>IF($C86="","",(30-IF($E86="",30,$E86))/60)</f>
      </c>
      <c r="H86" s="37">
        <f>IF($C86="",0,IF(IFERROR(VLOOKUP($C86,Setup!$A$2:$B$60,2,FALSE),"N")="Y",$F86,0))</f>
      </c>
      <c r="I86" s="38">
        <f>IF($C86="",0,IF(IFERROR(VLOOKUP($C86,Setup!$A$2:$B$60,2,FALSE),"N")="Y",N($D86),0))</f>
      </c>
      <c r="J86" s="37">
        <f>IF($H86&gt;0,$I86/$H86,"")</f>
      </c>
    </row>
    <row r="87" spans="2:10" x14ac:dyDescent="0.25">
      <c r="B87" s="39" t="s">
        <v>44</v>
      </c>
      <c r="C87" s="40"/>
      <c r="D87" s="41">
        <f>SUM(I69:I86)</f>
      </c>
      <c r="E87" s="40"/>
      <c r="F87" s="42">
        <f>SUM(F69:F86)</f>
      </c>
      <c r="G87" s="42">
        <f>SUM(G69:G86)</f>
      </c>
      <c r="H87" s="42">
        <f>SUM(H69:H86)</f>
      </c>
      <c r="I87" s="40"/>
      <c r="J87" s="42">
        <f>IF(H87&gt;0,D87/H87,"")</f>
      </c>
    </row>
    <row r="89" ht="26" customHeight="1" spans="2:10" x14ac:dyDescent="0.25">
      <c r="B89" s="21">
        <v>46300</v>
      </c>
      <c r="C89" s="21"/>
      <c r="D89" s="21"/>
      <c r="E89" s="22" t="s">
        <v>21</v>
      </c>
      <c r="F89" s="22"/>
      <c r="G89" s="22"/>
      <c r="H89" s="22"/>
      <c r="I89" s="22"/>
      <c r="J89" s="22"/>
    </row>
    <row r="90" ht="18" customHeight="1" spans="2:10" x14ac:dyDescent="0.25">
      <c r="B90" s="23" t="s">
        <v>22</v>
      </c>
      <c r="C90" s="23" t="s">
        <v>19</v>
      </c>
      <c r="D90" s="24" t="s">
        <v>4</v>
      </c>
      <c r="E90" s="24" t="s">
        <v>23</v>
      </c>
      <c r="F90" s="25" t="s">
        <v>13</v>
      </c>
      <c r="G90" s="25" t="s">
        <v>24</v>
      </c>
      <c r="H90" s="25" t="s">
        <v>25</v>
      </c>
      <c r="I90" s="25" t="s">
        <v>4</v>
      </c>
      <c r="J90" s="25" t="s">
        <v>14</v>
      </c>
    </row>
    <row r="91" spans="1:11" x14ac:dyDescent="0.25">
      <c r="A91" s="26">
        <v>46300</v>
      </c>
      <c r="B91" s="27" t="s">
        <v>26</v>
      </c>
      <c r="C91" s="28"/>
      <c r="D91" s="29"/>
      <c r="E91" s="29"/>
      <c r="F91" s="30">
        <f>IF($C91="","",IF($E91="",30,$E91)/60)</f>
      </c>
      <c r="G91" s="30">
        <f>IF($C91="","",(30-IF($E91="",30,$E91))/60)</f>
      </c>
      <c r="H91" s="30">
        <f>IF($C91="",0,IF(IFERROR(VLOOKUP($C91,Setup!$A$2:$B$60,2,FALSE),"N")="Y",$F91,0))</f>
      </c>
      <c r="I91" s="31">
        <f>IF($C91="",0,IF(IFERROR(VLOOKUP($C91,Setup!$A$2:$B$60,2,FALSE),"N")="Y",N($D91),0))</f>
      </c>
      <c r="J91" s="30">
        <f>IF($H91&gt;0,$I91/$H91,"")</f>
      </c>
      <c r="K91" s="32">
        <f>IF($F109&gt;0,9,0)</f>
      </c>
    </row>
    <row r="92" spans="1:10" x14ac:dyDescent="0.25">
      <c r="A92" s="33">
        <v>46300</v>
      </c>
      <c r="B92" s="34" t="s">
        <v>27</v>
      </c>
      <c r="C92" s="35"/>
      <c r="D92" s="36"/>
      <c r="E92" s="36"/>
      <c r="F92" s="37">
        <f>IF($C92="","",IF($E92="",30,$E92)/60)</f>
      </c>
      <c r="G92" s="37">
        <f>IF($C92="","",(30-IF($E92="",30,$E92))/60)</f>
      </c>
      <c r="H92" s="37">
        <f>IF($C92="",0,IF(IFERROR(VLOOKUP($C92,Setup!$A$2:$B$60,2,FALSE),"N")="Y",$F92,0))</f>
      </c>
      <c r="I92" s="38">
        <f>IF($C92="",0,IF(IFERROR(VLOOKUP($C92,Setup!$A$2:$B$60,2,FALSE),"N")="Y",N($D92),0))</f>
      </c>
      <c r="J92" s="37">
        <f>IF($H92&gt;0,$I92/$H92,"")</f>
      </c>
    </row>
    <row r="93" spans="1:10" x14ac:dyDescent="0.25">
      <c r="A93" s="26">
        <v>46300</v>
      </c>
      <c r="B93" s="27" t="s">
        <v>28</v>
      </c>
      <c r="C93" s="28"/>
      <c r="D93" s="29"/>
      <c r="E93" s="29"/>
      <c r="F93" s="30">
        <f>IF($C93="","",IF($E93="",30,$E93)/60)</f>
      </c>
      <c r="G93" s="30">
        <f>IF($C93="","",(30-IF($E93="",30,$E93))/60)</f>
      </c>
      <c r="H93" s="30">
        <f>IF($C93="",0,IF(IFERROR(VLOOKUP($C93,Setup!$A$2:$B$60,2,FALSE),"N")="Y",$F93,0))</f>
      </c>
      <c r="I93" s="31">
        <f>IF($C93="",0,IF(IFERROR(VLOOKUP($C93,Setup!$A$2:$B$60,2,FALSE),"N")="Y",N($D93),0))</f>
      </c>
      <c r="J93" s="30">
        <f>IF($H93&gt;0,$I93/$H93,"")</f>
      </c>
    </row>
    <row r="94" spans="1:10" x14ac:dyDescent="0.25">
      <c r="A94" s="33">
        <v>46300</v>
      </c>
      <c r="B94" s="34" t="s">
        <v>29</v>
      </c>
      <c r="C94" s="35"/>
      <c r="D94" s="36"/>
      <c r="E94" s="36"/>
      <c r="F94" s="37">
        <f>IF($C94="","",IF($E94="",30,$E94)/60)</f>
      </c>
      <c r="G94" s="37">
        <f>IF($C94="","",(30-IF($E94="",30,$E94))/60)</f>
      </c>
      <c r="H94" s="37">
        <f>IF($C94="",0,IF(IFERROR(VLOOKUP($C94,Setup!$A$2:$B$60,2,FALSE),"N")="Y",$F94,0))</f>
      </c>
      <c r="I94" s="38">
        <f>IF($C94="",0,IF(IFERROR(VLOOKUP($C94,Setup!$A$2:$B$60,2,FALSE),"N")="Y",N($D94),0))</f>
      </c>
      <c r="J94" s="37">
        <f>IF($H94&gt;0,$I94/$H94,"")</f>
      </c>
    </row>
    <row r="95" spans="1:10" x14ac:dyDescent="0.25">
      <c r="A95" s="26">
        <v>46300</v>
      </c>
      <c r="B95" s="27" t="s">
        <v>30</v>
      </c>
      <c r="C95" s="28"/>
      <c r="D95" s="29"/>
      <c r="E95" s="29"/>
      <c r="F95" s="30">
        <f>IF($C95="","",IF($E95="",30,$E95)/60)</f>
      </c>
      <c r="G95" s="30">
        <f>IF($C95="","",(30-IF($E95="",30,$E95))/60)</f>
      </c>
      <c r="H95" s="30">
        <f>IF($C95="",0,IF(IFERROR(VLOOKUP($C95,Setup!$A$2:$B$60,2,FALSE),"N")="Y",$F95,0))</f>
      </c>
      <c r="I95" s="31">
        <f>IF($C95="",0,IF(IFERROR(VLOOKUP($C95,Setup!$A$2:$B$60,2,FALSE),"N")="Y",N($D95),0))</f>
      </c>
      <c r="J95" s="30">
        <f>IF($H95&gt;0,$I95/$H95,"")</f>
      </c>
    </row>
    <row r="96" spans="1:10" x14ac:dyDescent="0.25">
      <c r="A96" s="33">
        <v>46300</v>
      </c>
      <c r="B96" s="34" t="s">
        <v>31</v>
      </c>
      <c r="C96" s="35"/>
      <c r="D96" s="36"/>
      <c r="E96" s="36"/>
      <c r="F96" s="37">
        <f>IF($C96="","",IF($E96="",30,$E96)/60)</f>
      </c>
      <c r="G96" s="37">
        <f>IF($C96="","",(30-IF($E96="",30,$E96))/60)</f>
      </c>
      <c r="H96" s="37">
        <f>IF($C96="",0,IF(IFERROR(VLOOKUP($C96,Setup!$A$2:$B$60,2,FALSE),"N")="Y",$F96,0))</f>
      </c>
      <c r="I96" s="38">
        <f>IF($C96="",0,IF(IFERROR(VLOOKUP($C96,Setup!$A$2:$B$60,2,FALSE),"N")="Y",N($D96),0))</f>
      </c>
      <c r="J96" s="37">
        <f>IF($H96&gt;0,$I96/$H96,"")</f>
      </c>
    </row>
    <row r="97" spans="1:10" x14ac:dyDescent="0.25">
      <c r="A97" s="26">
        <v>46300</v>
      </c>
      <c r="B97" s="27" t="s">
        <v>32</v>
      </c>
      <c r="C97" s="28"/>
      <c r="D97" s="29"/>
      <c r="E97" s="29"/>
      <c r="F97" s="30">
        <f>IF($C97="","",IF($E97="",30,$E97)/60)</f>
      </c>
      <c r="G97" s="30">
        <f>IF($C97="","",(30-IF($E97="",30,$E97))/60)</f>
      </c>
      <c r="H97" s="30">
        <f>IF($C97="",0,IF(IFERROR(VLOOKUP($C97,Setup!$A$2:$B$60,2,FALSE),"N")="Y",$F97,0))</f>
      </c>
      <c r="I97" s="31">
        <f>IF($C97="",0,IF(IFERROR(VLOOKUP($C97,Setup!$A$2:$B$60,2,FALSE),"N")="Y",N($D97),0))</f>
      </c>
      <c r="J97" s="30">
        <f>IF($H97&gt;0,$I97/$H97,"")</f>
      </c>
    </row>
    <row r="98" spans="1:10" x14ac:dyDescent="0.25">
      <c r="A98" s="33">
        <v>46300</v>
      </c>
      <c r="B98" s="34" t="s">
        <v>33</v>
      </c>
      <c r="C98" s="35"/>
      <c r="D98" s="36"/>
      <c r="E98" s="36"/>
      <c r="F98" s="37">
        <f>IF($C98="","",IF($E98="",30,$E98)/60)</f>
      </c>
      <c r="G98" s="37">
        <f>IF($C98="","",(30-IF($E98="",30,$E98))/60)</f>
      </c>
      <c r="H98" s="37">
        <f>IF($C98="",0,IF(IFERROR(VLOOKUP($C98,Setup!$A$2:$B$60,2,FALSE),"N")="Y",$F98,0))</f>
      </c>
      <c r="I98" s="38">
        <f>IF($C98="",0,IF(IFERROR(VLOOKUP($C98,Setup!$A$2:$B$60,2,FALSE),"N")="Y",N($D98),0))</f>
      </c>
      <c r="J98" s="37">
        <f>IF($H98&gt;0,$I98/$H98,"")</f>
      </c>
    </row>
    <row r="99" spans="1:10" x14ac:dyDescent="0.25">
      <c r="A99" s="26">
        <v>46300</v>
      </c>
      <c r="B99" s="27" t="s">
        <v>34</v>
      </c>
      <c r="C99" s="28"/>
      <c r="D99" s="29"/>
      <c r="E99" s="29"/>
      <c r="F99" s="30">
        <f>IF($C99="","",IF($E99="",30,$E99)/60)</f>
      </c>
      <c r="G99" s="30">
        <f>IF($C99="","",(30-IF($E99="",30,$E99))/60)</f>
      </c>
      <c r="H99" s="30">
        <f>IF($C99="",0,IF(IFERROR(VLOOKUP($C99,Setup!$A$2:$B$60,2,FALSE),"N")="Y",$F99,0))</f>
      </c>
      <c r="I99" s="31">
        <f>IF($C99="",0,IF(IFERROR(VLOOKUP($C99,Setup!$A$2:$B$60,2,FALSE),"N")="Y",N($D99),0))</f>
      </c>
      <c r="J99" s="30">
        <f>IF($H99&gt;0,$I99/$H99,"")</f>
      </c>
    </row>
    <row r="100" spans="1:10" x14ac:dyDescent="0.25">
      <c r="A100" s="33">
        <v>46300</v>
      </c>
      <c r="B100" s="34" t="s">
        <v>35</v>
      </c>
      <c r="C100" s="35"/>
      <c r="D100" s="36"/>
      <c r="E100" s="36"/>
      <c r="F100" s="37">
        <f>IF($C100="","",IF($E100="",30,$E100)/60)</f>
      </c>
      <c r="G100" s="37">
        <f>IF($C100="","",(30-IF($E100="",30,$E100))/60)</f>
      </c>
      <c r="H100" s="37">
        <f>IF($C100="",0,IF(IFERROR(VLOOKUP($C100,Setup!$A$2:$B$60,2,FALSE),"N")="Y",$F100,0))</f>
      </c>
      <c r="I100" s="38">
        <f>IF($C100="",0,IF(IFERROR(VLOOKUP($C100,Setup!$A$2:$B$60,2,FALSE),"N")="Y",N($D100),0))</f>
      </c>
      <c r="J100" s="37">
        <f>IF($H100&gt;0,$I100/$H100,"")</f>
      </c>
    </row>
    <row r="101" spans="1:10" x14ac:dyDescent="0.25">
      <c r="A101" s="26">
        <v>46300</v>
      </c>
      <c r="B101" s="27" t="s">
        <v>36</v>
      </c>
      <c r="C101" s="28"/>
      <c r="D101" s="29"/>
      <c r="E101" s="29"/>
      <c r="F101" s="30">
        <f>IF($C101="","",IF($E101="",30,$E101)/60)</f>
      </c>
      <c r="G101" s="30">
        <f>IF($C101="","",(30-IF($E101="",30,$E101))/60)</f>
      </c>
      <c r="H101" s="30">
        <f>IF($C101="",0,IF(IFERROR(VLOOKUP($C101,Setup!$A$2:$B$60,2,FALSE),"N")="Y",$F101,0))</f>
      </c>
      <c r="I101" s="31">
        <f>IF($C101="",0,IF(IFERROR(VLOOKUP($C101,Setup!$A$2:$B$60,2,FALSE),"N")="Y",N($D101),0))</f>
      </c>
      <c r="J101" s="30">
        <f>IF($H101&gt;0,$I101/$H101,"")</f>
      </c>
    </row>
    <row r="102" spans="1:10" x14ac:dyDescent="0.25">
      <c r="A102" s="33">
        <v>46300</v>
      </c>
      <c r="B102" s="34" t="s">
        <v>37</v>
      </c>
      <c r="C102" s="35"/>
      <c r="D102" s="36"/>
      <c r="E102" s="36"/>
      <c r="F102" s="37">
        <f>IF($C102="","",IF($E102="",30,$E102)/60)</f>
      </c>
      <c r="G102" s="37">
        <f>IF($C102="","",(30-IF($E102="",30,$E102))/60)</f>
      </c>
      <c r="H102" s="37">
        <f>IF($C102="",0,IF(IFERROR(VLOOKUP($C102,Setup!$A$2:$B$60,2,FALSE),"N")="Y",$F102,0))</f>
      </c>
      <c r="I102" s="38">
        <f>IF($C102="",0,IF(IFERROR(VLOOKUP($C102,Setup!$A$2:$B$60,2,FALSE),"N")="Y",N($D102),0))</f>
      </c>
      <c r="J102" s="37">
        <f>IF($H102&gt;0,$I102/$H102,"")</f>
      </c>
    </row>
    <row r="103" spans="1:10" x14ac:dyDescent="0.25">
      <c r="A103" s="26">
        <v>46300</v>
      </c>
      <c r="B103" s="27" t="s">
        <v>38</v>
      </c>
      <c r="C103" s="28"/>
      <c r="D103" s="29"/>
      <c r="E103" s="29"/>
      <c r="F103" s="30">
        <f>IF($C103="","",IF($E103="",30,$E103)/60)</f>
      </c>
      <c r="G103" s="30">
        <f>IF($C103="","",(30-IF($E103="",30,$E103))/60)</f>
      </c>
      <c r="H103" s="30">
        <f>IF($C103="",0,IF(IFERROR(VLOOKUP($C103,Setup!$A$2:$B$60,2,FALSE),"N")="Y",$F103,0))</f>
      </c>
      <c r="I103" s="31">
        <f>IF($C103="",0,IF(IFERROR(VLOOKUP($C103,Setup!$A$2:$B$60,2,FALSE),"N")="Y",N($D103),0))</f>
      </c>
      <c r="J103" s="30">
        <f>IF($H103&gt;0,$I103/$H103,"")</f>
      </c>
    </row>
    <row r="104" spans="1:10" x14ac:dyDescent="0.25">
      <c r="A104" s="33">
        <v>46300</v>
      </c>
      <c r="B104" s="34" t="s">
        <v>39</v>
      </c>
      <c r="C104" s="35"/>
      <c r="D104" s="36"/>
      <c r="E104" s="36"/>
      <c r="F104" s="37">
        <f>IF($C104="","",IF($E104="",30,$E104)/60)</f>
      </c>
      <c r="G104" s="37">
        <f>IF($C104="","",(30-IF($E104="",30,$E104))/60)</f>
      </c>
      <c r="H104" s="37">
        <f>IF($C104="",0,IF(IFERROR(VLOOKUP($C104,Setup!$A$2:$B$60,2,FALSE),"N")="Y",$F104,0))</f>
      </c>
      <c r="I104" s="38">
        <f>IF($C104="",0,IF(IFERROR(VLOOKUP($C104,Setup!$A$2:$B$60,2,FALSE),"N")="Y",N($D104),0))</f>
      </c>
      <c r="J104" s="37">
        <f>IF($H104&gt;0,$I104/$H104,"")</f>
      </c>
    </row>
    <row r="105" spans="1:10" x14ac:dyDescent="0.25">
      <c r="A105" s="26">
        <v>46300</v>
      </c>
      <c r="B105" s="27" t="s">
        <v>40</v>
      </c>
      <c r="C105" s="28"/>
      <c r="D105" s="29"/>
      <c r="E105" s="29"/>
      <c r="F105" s="30">
        <f>IF($C105="","",IF($E105="",30,$E105)/60)</f>
      </c>
      <c r="G105" s="30">
        <f>IF($C105="","",(30-IF($E105="",30,$E105))/60)</f>
      </c>
      <c r="H105" s="30">
        <f>IF($C105="",0,IF(IFERROR(VLOOKUP($C105,Setup!$A$2:$B$60,2,FALSE),"N")="Y",$F105,0))</f>
      </c>
      <c r="I105" s="31">
        <f>IF($C105="",0,IF(IFERROR(VLOOKUP($C105,Setup!$A$2:$B$60,2,FALSE),"N")="Y",N($D105),0))</f>
      </c>
      <c r="J105" s="30">
        <f>IF($H105&gt;0,$I105/$H105,"")</f>
      </c>
    </row>
    <row r="106" spans="1:10" x14ac:dyDescent="0.25">
      <c r="A106" s="33">
        <v>46300</v>
      </c>
      <c r="B106" s="34" t="s">
        <v>41</v>
      </c>
      <c r="C106" s="35"/>
      <c r="D106" s="36"/>
      <c r="E106" s="36"/>
      <c r="F106" s="37">
        <f>IF($C106="","",IF($E106="",30,$E106)/60)</f>
      </c>
      <c r="G106" s="37">
        <f>IF($C106="","",(30-IF($E106="",30,$E106))/60)</f>
      </c>
      <c r="H106" s="37">
        <f>IF($C106="",0,IF(IFERROR(VLOOKUP($C106,Setup!$A$2:$B$60,2,FALSE),"N")="Y",$F106,0))</f>
      </c>
      <c r="I106" s="38">
        <f>IF($C106="",0,IF(IFERROR(VLOOKUP($C106,Setup!$A$2:$B$60,2,FALSE),"N")="Y",N($D106),0))</f>
      </c>
      <c r="J106" s="37">
        <f>IF($H106&gt;0,$I106/$H106,"")</f>
      </c>
    </row>
    <row r="107" spans="1:10" x14ac:dyDescent="0.25">
      <c r="A107" s="26">
        <v>46300</v>
      </c>
      <c r="B107" s="27" t="s">
        <v>42</v>
      </c>
      <c r="C107" s="28"/>
      <c r="D107" s="29"/>
      <c r="E107" s="29"/>
      <c r="F107" s="30">
        <f>IF($C107="","",IF($E107="",30,$E107)/60)</f>
      </c>
      <c r="G107" s="30">
        <f>IF($C107="","",(30-IF($E107="",30,$E107))/60)</f>
      </c>
      <c r="H107" s="30">
        <f>IF($C107="",0,IF(IFERROR(VLOOKUP($C107,Setup!$A$2:$B$60,2,FALSE),"N")="Y",$F107,0))</f>
      </c>
      <c r="I107" s="31">
        <f>IF($C107="",0,IF(IFERROR(VLOOKUP($C107,Setup!$A$2:$B$60,2,FALSE),"N")="Y",N($D107),0))</f>
      </c>
      <c r="J107" s="30">
        <f>IF($H107&gt;0,$I107/$H107,"")</f>
      </c>
    </row>
    <row r="108" spans="1:10" x14ac:dyDescent="0.25">
      <c r="A108" s="33">
        <v>46300</v>
      </c>
      <c r="B108" s="34" t="s">
        <v>43</v>
      </c>
      <c r="C108" s="35"/>
      <c r="D108" s="36"/>
      <c r="E108" s="36"/>
      <c r="F108" s="37">
        <f>IF($C108="","",IF($E108="",30,$E108)/60)</f>
      </c>
      <c r="G108" s="37">
        <f>IF($C108="","",(30-IF($E108="",30,$E108))/60)</f>
      </c>
      <c r="H108" s="37">
        <f>IF($C108="",0,IF(IFERROR(VLOOKUP($C108,Setup!$A$2:$B$60,2,FALSE),"N")="Y",$F108,0))</f>
      </c>
      <c r="I108" s="38">
        <f>IF($C108="",0,IF(IFERROR(VLOOKUP($C108,Setup!$A$2:$B$60,2,FALSE),"N")="Y",N($D108),0))</f>
      </c>
      <c r="J108" s="37">
        <f>IF($H108&gt;0,$I108/$H108,"")</f>
      </c>
    </row>
    <row r="109" spans="2:10" x14ac:dyDescent="0.25">
      <c r="B109" s="39" t="s">
        <v>44</v>
      </c>
      <c r="C109" s="40"/>
      <c r="D109" s="41">
        <f>SUM(I91:I108)</f>
      </c>
      <c r="E109" s="40"/>
      <c r="F109" s="42">
        <f>SUM(F91:F108)</f>
      </c>
      <c r="G109" s="42">
        <f>SUM(G91:G108)</f>
      </c>
      <c r="H109" s="42">
        <f>SUM(H91:H108)</f>
      </c>
      <c r="I109" s="40"/>
      <c r="J109" s="42">
        <f>IF(H109&gt;0,D109/H109,"")</f>
      </c>
    </row>
    <row r="111" ht="26" customHeight="1" spans="2:10" x14ac:dyDescent="0.25">
      <c r="B111" s="21">
        <v>46301</v>
      </c>
      <c r="C111" s="21"/>
      <c r="D111" s="21"/>
      <c r="E111" s="22" t="s">
        <v>21</v>
      </c>
      <c r="F111" s="22"/>
      <c r="G111" s="22"/>
      <c r="H111" s="22"/>
      <c r="I111" s="22"/>
      <c r="J111" s="22"/>
    </row>
    <row r="112" ht="18" customHeight="1" spans="2:10" x14ac:dyDescent="0.25">
      <c r="B112" s="23" t="s">
        <v>22</v>
      </c>
      <c r="C112" s="23" t="s">
        <v>19</v>
      </c>
      <c r="D112" s="24" t="s">
        <v>4</v>
      </c>
      <c r="E112" s="24" t="s">
        <v>23</v>
      </c>
      <c r="F112" s="25" t="s">
        <v>13</v>
      </c>
      <c r="G112" s="25" t="s">
        <v>24</v>
      </c>
      <c r="H112" s="25" t="s">
        <v>25</v>
      </c>
      <c r="I112" s="25" t="s">
        <v>4</v>
      </c>
      <c r="J112" s="25" t="s">
        <v>14</v>
      </c>
    </row>
    <row r="113" spans="1:11" x14ac:dyDescent="0.25">
      <c r="A113" s="26">
        <v>46301</v>
      </c>
      <c r="B113" s="27" t="s">
        <v>26</v>
      </c>
      <c r="C113" s="28"/>
      <c r="D113" s="29"/>
      <c r="E113" s="29"/>
      <c r="F113" s="30">
        <f>IF($C113="","",IF($E113="",30,$E113)/60)</f>
      </c>
      <c r="G113" s="30">
        <f>IF($C113="","",(30-IF($E113="",30,$E113))/60)</f>
      </c>
      <c r="H113" s="30">
        <f>IF($C113="",0,IF(IFERROR(VLOOKUP($C113,Setup!$A$2:$B$60,2,FALSE),"N")="Y",$F113,0))</f>
      </c>
      <c r="I113" s="31">
        <f>IF($C113="",0,IF(IFERROR(VLOOKUP($C113,Setup!$A$2:$B$60,2,FALSE),"N")="Y",N($D113),0))</f>
      </c>
      <c r="J113" s="30">
        <f>IF($H113&gt;0,$I113/$H113,"")</f>
      </c>
      <c r="K113" s="32">
        <f>IF($F131&gt;0,9,0)</f>
      </c>
    </row>
    <row r="114" spans="1:10" x14ac:dyDescent="0.25">
      <c r="A114" s="33">
        <v>46301</v>
      </c>
      <c r="B114" s="34" t="s">
        <v>27</v>
      </c>
      <c r="C114" s="35"/>
      <c r="D114" s="36"/>
      <c r="E114" s="36"/>
      <c r="F114" s="37">
        <f>IF($C114="","",IF($E114="",30,$E114)/60)</f>
      </c>
      <c r="G114" s="37">
        <f>IF($C114="","",(30-IF($E114="",30,$E114))/60)</f>
      </c>
      <c r="H114" s="37">
        <f>IF($C114="",0,IF(IFERROR(VLOOKUP($C114,Setup!$A$2:$B$60,2,FALSE),"N")="Y",$F114,0))</f>
      </c>
      <c r="I114" s="38">
        <f>IF($C114="",0,IF(IFERROR(VLOOKUP($C114,Setup!$A$2:$B$60,2,FALSE),"N")="Y",N($D114),0))</f>
      </c>
      <c r="J114" s="37">
        <f>IF($H114&gt;0,$I114/$H114,"")</f>
      </c>
    </row>
    <row r="115" spans="1:10" x14ac:dyDescent="0.25">
      <c r="A115" s="26">
        <v>46301</v>
      </c>
      <c r="B115" s="27" t="s">
        <v>28</v>
      </c>
      <c r="C115" s="28"/>
      <c r="D115" s="29"/>
      <c r="E115" s="29"/>
      <c r="F115" s="30">
        <f>IF($C115="","",IF($E115="",30,$E115)/60)</f>
      </c>
      <c r="G115" s="30">
        <f>IF($C115="","",(30-IF($E115="",30,$E115))/60)</f>
      </c>
      <c r="H115" s="30">
        <f>IF($C115="",0,IF(IFERROR(VLOOKUP($C115,Setup!$A$2:$B$60,2,FALSE),"N")="Y",$F115,0))</f>
      </c>
      <c r="I115" s="31">
        <f>IF($C115="",0,IF(IFERROR(VLOOKUP($C115,Setup!$A$2:$B$60,2,FALSE),"N")="Y",N($D115),0))</f>
      </c>
      <c r="J115" s="30">
        <f>IF($H115&gt;0,$I115/$H115,"")</f>
      </c>
    </row>
    <row r="116" spans="1:10" x14ac:dyDescent="0.25">
      <c r="A116" s="33">
        <v>46301</v>
      </c>
      <c r="B116" s="34" t="s">
        <v>29</v>
      </c>
      <c r="C116" s="35"/>
      <c r="D116" s="36"/>
      <c r="E116" s="36"/>
      <c r="F116" s="37">
        <f>IF($C116="","",IF($E116="",30,$E116)/60)</f>
      </c>
      <c r="G116" s="37">
        <f>IF($C116="","",(30-IF($E116="",30,$E116))/60)</f>
      </c>
      <c r="H116" s="37">
        <f>IF($C116="",0,IF(IFERROR(VLOOKUP($C116,Setup!$A$2:$B$60,2,FALSE),"N")="Y",$F116,0))</f>
      </c>
      <c r="I116" s="38">
        <f>IF($C116="",0,IF(IFERROR(VLOOKUP($C116,Setup!$A$2:$B$60,2,FALSE),"N")="Y",N($D116),0))</f>
      </c>
      <c r="J116" s="37">
        <f>IF($H116&gt;0,$I116/$H116,"")</f>
      </c>
    </row>
    <row r="117" spans="1:10" x14ac:dyDescent="0.25">
      <c r="A117" s="26">
        <v>46301</v>
      </c>
      <c r="B117" s="27" t="s">
        <v>30</v>
      </c>
      <c r="C117" s="28"/>
      <c r="D117" s="29"/>
      <c r="E117" s="29"/>
      <c r="F117" s="30">
        <f>IF($C117="","",IF($E117="",30,$E117)/60)</f>
      </c>
      <c r="G117" s="30">
        <f>IF($C117="","",(30-IF($E117="",30,$E117))/60)</f>
      </c>
      <c r="H117" s="30">
        <f>IF($C117="",0,IF(IFERROR(VLOOKUP($C117,Setup!$A$2:$B$60,2,FALSE),"N")="Y",$F117,0))</f>
      </c>
      <c r="I117" s="31">
        <f>IF($C117="",0,IF(IFERROR(VLOOKUP($C117,Setup!$A$2:$B$60,2,FALSE),"N")="Y",N($D117),0))</f>
      </c>
      <c r="J117" s="30">
        <f>IF($H117&gt;0,$I117/$H117,"")</f>
      </c>
    </row>
    <row r="118" spans="1:10" x14ac:dyDescent="0.25">
      <c r="A118" s="33">
        <v>46301</v>
      </c>
      <c r="B118" s="34" t="s">
        <v>31</v>
      </c>
      <c r="C118" s="35"/>
      <c r="D118" s="36"/>
      <c r="E118" s="36"/>
      <c r="F118" s="37">
        <f>IF($C118="","",IF($E118="",30,$E118)/60)</f>
      </c>
      <c r="G118" s="37">
        <f>IF($C118="","",(30-IF($E118="",30,$E118))/60)</f>
      </c>
      <c r="H118" s="37">
        <f>IF($C118="",0,IF(IFERROR(VLOOKUP($C118,Setup!$A$2:$B$60,2,FALSE),"N")="Y",$F118,0))</f>
      </c>
      <c r="I118" s="38">
        <f>IF($C118="",0,IF(IFERROR(VLOOKUP($C118,Setup!$A$2:$B$60,2,FALSE),"N")="Y",N($D118),0))</f>
      </c>
      <c r="J118" s="37">
        <f>IF($H118&gt;0,$I118/$H118,"")</f>
      </c>
    </row>
    <row r="119" spans="1:10" x14ac:dyDescent="0.25">
      <c r="A119" s="26">
        <v>46301</v>
      </c>
      <c r="B119" s="27" t="s">
        <v>32</v>
      </c>
      <c r="C119" s="28"/>
      <c r="D119" s="29"/>
      <c r="E119" s="29"/>
      <c r="F119" s="30">
        <f>IF($C119="","",IF($E119="",30,$E119)/60)</f>
      </c>
      <c r="G119" s="30">
        <f>IF($C119="","",(30-IF($E119="",30,$E119))/60)</f>
      </c>
      <c r="H119" s="30">
        <f>IF($C119="",0,IF(IFERROR(VLOOKUP($C119,Setup!$A$2:$B$60,2,FALSE),"N")="Y",$F119,0))</f>
      </c>
      <c r="I119" s="31">
        <f>IF($C119="",0,IF(IFERROR(VLOOKUP($C119,Setup!$A$2:$B$60,2,FALSE),"N")="Y",N($D119),0))</f>
      </c>
      <c r="J119" s="30">
        <f>IF($H119&gt;0,$I119/$H119,"")</f>
      </c>
    </row>
    <row r="120" spans="1:10" x14ac:dyDescent="0.25">
      <c r="A120" s="33">
        <v>46301</v>
      </c>
      <c r="B120" s="34" t="s">
        <v>33</v>
      </c>
      <c r="C120" s="35"/>
      <c r="D120" s="36"/>
      <c r="E120" s="36"/>
      <c r="F120" s="37">
        <f>IF($C120="","",IF($E120="",30,$E120)/60)</f>
      </c>
      <c r="G120" s="37">
        <f>IF($C120="","",(30-IF($E120="",30,$E120))/60)</f>
      </c>
      <c r="H120" s="37">
        <f>IF($C120="",0,IF(IFERROR(VLOOKUP($C120,Setup!$A$2:$B$60,2,FALSE),"N")="Y",$F120,0))</f>
      </c>
      <c r="I120" s="38">
        <f>IF($C120="",0,IF(IFERROR(VLOOKUP($C120,Setup!$A$2:$B$60,2,FALSE),"N")="Y",N($D120),0))</f>
      </c>
      <c r="J120" s="37">
        <f>IF($H120&gt;0,$I120/$H120,"")</f>
      </c>
    </row>
    <row r="121" spans="1:10" x14ac:dyDescent="0.25">
      <c r="A121" s="26">
        <v>46301</v>
      </c>
      <c r="B121" s="27" t="s">
        <v>34</v>
      </c>
      <c r="C121" s="28"/>
      <c r="D121" s="29"/>
      <c r="E121" s="29"/>
      <c r="F121" s="30">
        <f>IF($C121="","",IF($E121="",30,$E121)/60)</f>
      </c>
      <c r="G121" s="30">
        <f>IF($C121="","",(30-IF($E121="",30,$E121))/60)</f>
      </c>
      <c r="H121" s="30">
        <f>IF($C121="",0,IF(IFERROR(VLOOKUP($C121,Setup!$A$2:$B$60,2,FALSE),"N")="Y",$F121,0))</f>
      </c>
      <c r="I121" s="31">
        <f>IF($C121="",0,IF(IFERROR(VLOOKUP($C121,Setup!$A$2:$B$60,2,FALSE),"N")="Y",N($D121),0))</f>
      </c>
      <c r="J121" s="30">
        <f>IF($H121&gt;0,$I121/$H121,"")</f>
      </c>
    </row>
    <row r="122" spans="1:10" x14ac:dyDescent="0.25">
      <c r="A122" s="33">
        <v>46301</v>
      </c>
      <c r="B122" s="34" t="s">
        <v>35</v>
      </c>
      <c r="C122" s="35"/>
      <c r="D122" s="36"/>
      <c r="E122" s="36"/>
      <c r="F122" s="37">
        <f>IF($C122="","",IF($E122="",30,$E122)/60)</f>
      </c>
      <c r="G122" s="37">
        <f>IF($C122="","",(30-IF($E122="",30,$E122))/60)</f>
      </c>
      <c r="H122" s="37">
        <f>IF($C122="",0,IF(IFERROR(VLOOKUP($C122,Setup!$A$2:$B$60,2,FALSE),"N")="Y",$F122,0))</f>
      </c>
      <c r="I122" s="38">
        <f>IF($C122="",0,IF(IFERROR(VLOOKUP($C122,Setup!$A$2:$B$60,2,FALSE),"N")="Y",N($D122),0))</f>
      </c>
      <c r="J122" s="37">
        <f>IF($H122&gt;0,$I122/$H122,"")</f>
      </c>
    </row>
    <row r="123" spans="1:10" x14ac:dyDescent="0.25">
      <c r="A123" s="26">
        <v>46301</v>
      </c>
      <c r="B123" s="27" t="s">
        <v>36</v>
      </c>
      <c r="C123" s="28"/>
      <c r="D123" s="29"/>
      <c r="E123" s="29"/>
      <c r="F123" s="30">
        <f>IF($C123="","",IF($E123="",30,$E123)/60)</f>
      </c>
      <c r="G123" s="30">
        <f>IF($C123="","",(30-IF($E123="",30,$E123))/60)</f>
      </c>
      <c r="H123" s="30">
        <f>IF($C123="",0,IF(IFERROR(VLOOKUP($C123,Setup!$A$2:$B$60,2,FALSE),"N")="Y",$F123,0))</f>
      </c>
      <c r="I123" s="31">
        <f>IF($C123="",0,IF(IFERROR(VLOOKUP($C123,Setup!$A$2:$B$60,2,FALSE),"N")="Y",N($D123),0))</f>
      </c>
      <c r="J123" s="30">
        <f>IF($H123&gt;0,$I123/$H123,"")</f>
      </c>
    </row>
    <row r="124" spans="1:10" x14ac:dyDescent="0.25">
      <c r="A124" s="33">
        <v>46301</v>
      </c>
      <c r="B124" s="34" t="s">
        <v>37</v>
      </c>
      <c r="C124" s="35"/>
      <c r="D124" s="36"/>
      <c r="E124" s="36"/>
      <c r="F124" s="37">
        <f>IF($C124="","",IF($E124="",30,$E124)/60)</f>
      </c>
      <c r="G124" s="37">
        <f>IF($C124="","",(30-IF($E124="",30,$E124))/60)</f>
      </c>
      <c r="H124" s="37">
        <f>IF($C124="",0,IF(IFERROR(VLOOKUP($C124,Setup!$A$2:$B$60,2,FALSE),"N")="Y",$F124,0))</f>
      </c>
      <c r="I124" s="38">
        <f>IF($C124="",0,IF(IFERROR(VLOOKUP($C124,Setup!$A$2:$B$60,2,FALSE),"N")="Y",N($D124),0))</f>
      </c>
      <c r="J124" s="37">
        <f>IF($H124&gt;0,$I124/$H124,"")</f>
      </c>
    </row>
    <row r="125" spans="1:10" x14ac:dyDescent="0.25">
      <c r="A125" s="26">
        <v>46301</v>
      </c>
      <c r="B125" s="27" t="s">
        <v>38</v>
      </c>
      <c r="C125" s="28"/>
      <c r="D125" s="29"/>
      <c r="E125" s="29"/>
      <c r="F125" s="30">
        <f>IF($C125="","",IF($E125="",30,$E125)/60)</f>
      </c>
      <c r="G125" s="30">
        <f>IF($C125="","",(30-IF($E125="",30,$E125))/60)</f>
      </c>
      <c r="H125" s="30">
        <f>IF($C125="",0,IF(IFERROR(VLOOKUP($C125,Setup!$A$2:$B$60,2,FALSE),"N")="Y",$F125,0))</f>
      </c>
      <c r="I125" s="31">
        <f>IF($C125="",0,IF(IFERROR(VLOOKUP($C125,Setup!$A$2:$B$60,2,FALSE),"N")="Y",N($D125),0))</f>
      </c>
      <c r="J125" s="30">
        <f>IF($H125&gt;0,$I125/$H125,"")</f>
      </c>
    </row>
    <row r="126" spans="1:10" x14ac:dyDescent="0.25">
      <c r="A126" s="33">
        <v>46301</v>
      </c>
      <c r="B126" s="34" t="s">
        <v>39</v>
      </c>
      <c r="C126" s="35"/>
      <c r="D126" s="36"/>
      <c r="E126" s="36"/>
      <c r="F126" s="37">
        <f>IF($C126="","",IF($E126="",30,$E126)/60)</f>
      </c>
      <c r="G126" s="37">
        <f>IF($C126="","",(30-IF($E126="",30,$E126))/60)</f>
      </c>
      <c r="H126" s="37">
        <f>IF($C126="",0,IF(IFERROR(VLOOKUP($C126,Setup!$A$2:$B$60,2,FALSE),"N")="Y",$F126,0))</f>
      </c>
      <c r="I126" s="38">
        <f>IF($C126="",0,IF(IFERROR(VLOOKUP($C126,Setup!$A$2:$B$60,2,FALSE),"N")="Y",N($D126),0))</f>
      </c>
      <c r="J126" s="37">
        <f>IF($H126&gt;0,$I126/$H126,"")</f>
      </c>
    </row>
    <row r="127" spans="1:10" x14ac:dyDescent="0.25">
      <c r="A127" s="26">
        <v>46301</v>
      </c>
      <c r="B127" s="27" t="s">
        <v>40</v>
      </c>
      <c r="C127" s="28"/>
      <c r="D127" s="29"/>
      <c r="E127" s="29"/>
      <c r="F127" s="30">
        <f>IF($C127="","",IF($E127="",30,$E127)/60)</f>
      </c>
      <c r="G127" s="30">
        <f>IF($C127="","",(30-IF($E127="",30,$E127))/60)</f>
      </c>
      <c r="H127" s="30">
        <f>IF($C127="",0,IF(IFERROR(VLOOKUP($C127,Setup!$A$2:$B$60,2,FALSE),"N")="Y",$F127,0))</f>
      </c>
      <c r="I127" s="31">
        <f>IF($C127="",0,IF(IFERROR(VLOOKUP($C127,Setup!$A$2:$B$60,2,FALSE),"N")="Y",N($D127),0))</f>
      </c>
      <c r="J127" s="30">
        <f>IF($H127&gt;0,$I127/$H127,"")</f>
      </c>
    </row>
    <row r="128" spans="1:10" x14ac:dyDescent="0.25">
      <c r="A128" s="33">
        <v>46301</v>
      </c>
      <c r="B128" s="34" t="s">
        <v>41</v>
      </c>
      <c r="C128" s="35"/>
      <c r="D128" s="36"/>
      <c r="E128" s="36"/>
      <c r="F128" s="37">
        <f>IF($C128="","",IF($E128="",30,$E128)/60)</f>
      </c>
      <c r="G128" s="37">
        <f>IF($C128="","",(30-IF($E128="",30,$E128))/60)</f>
      </c>
      <c r="H128" s="37">
        <f>IF($C128="",0,IF(IFERROR(VLOOKUP($C128,Setup!$A$2:$B$60,2,FALSE),"N")="Y",$F128,0))</f>
      </c>
      <c r="I128" s="38">
        <f>IF($C128="",0,IF(IFERROR(VLOOKUP($C128,Setup!$A$2:$B$60,2,FALSE),"N")="Y",N($D128),0))</f>
      </c>
      <c r="J128" s="37">
        <f>IF($H128&gt;0,$I128/$H128,"")</f>
      </c>
    </row>
    <row r="129" spans="1:10" x14ac:dyDescent="0.25">
      <c r="A129" s="26">
        <v>46301</v>
      </c>
      <c r="B129" s="27" t="s">
        <v>42</v>
      </c>
      <c r="C129" s="28"/>
      <c r="D129" s="29"/>
      <c r="E129" s="29"/>
      <c r="F129" s="30">
        <f>IF($C129="","",IF($E129="",30,$E129)/60)</f>
      </c>
      <c r="G129" s="30">
        <f>IF($C129="","",(30-IF($E129="",30,$E129))/60)</f>
      </c>
      <c r="H129" s="30">
        <f>IF($C129="",0,IF(IFERROR(VLOOKUP($C129,Setup!$A$2:$B$60,2,FALSE),"N")="Y",$F129,0))</f>
      </c>
      <c r="I129" s="31">
        <f>IF($C129="",0,IF(IFERROR(VLOOKUP($C129,Setup!$A$2:$B$60,2,FALSE),"N")="Y",N($D129),0))</f>
      </c>
      <c r="J129" s="30">
        <f>IF($H129&gt;0,$I129/$H129,"")</f>
      </c>
    </row>
    <row r="130" spans="1:10" x14ac:dyDescent="0.25">
      <c r="A130" s="33">
        <v>46301</v>
      </c>
      <c r="B130" s="34" t="s">
        <v>43</v>
      </c>
      <c r="C130" s="35"/>
      <c r="D130" s="36"/>
      <c r="E130" s="36"/>
      <c r="F130" s="37">
        <f>IF($C130="","",IF($E130="",30,$E130)/60)</f>
      </c>
      <c r="G130" s="37">
        <f>IF($C130="","",(30-IF($E130="",30,$E130))/60)</f>
      </c>
      <c r="H130" s="37">
        <f>IF($C130="",0,IF(IFERROR(VLOOKUP($C130,Setup!$A$2:$B$60,2,FALSE),"N")="Y",$F130,0))</f>
      </c>
      <c r="I130" s="38">
        <f>IF($C130="",0,IF(IFERROR(VLOOKUP($C130,Setup!$A$2:$B$60,2,FALSE),"N")="Y",N($D130),0))</f>
      </c>
      <c r="J130" s="37">
        <f>IF($H130&gt;0,$I130/$H130,"")</f>
      </c>
    </row>
    <row r="131" spans="2:10" x14ac:dyDescent="0.25">
      <c r="B131" s="39" t="s">
        <v>44</v>
      </c>
      <c r="C131" s="40"/>
      <c r="D131" s="41">
        <f>SUM(I113:I130)</f>
      </c>
      <c r="E131" s="40"/>
      <c r="F131" s="42">
        <f>SUM(F113:F130)</f>
      </c>
      <c r="G131" s="42">
        <f>SUM(G113:G130)</f>
      </c>
      <c r="H131" s="42">
        <f>SUM(H113:H130)</f>
      </c>
      <c r="I131" s="40"/>
      <c r="J131" s="42">
        <f>IF(H131&gt;0,D131/H131,"")</f>
      </c>
    </row>
    <row r="133" ht="26" customHeight="1" spans="2:10" x14ac:dyDescent="0.25">
      <c r="B133" s="21">
        <v>46302</v>
      </c>
      <c r="C133" s="21"/>
      <c r="D133" s="21"/>
      <c r="E133" s="22" t="s">
        <v>21</v>
      </c>
      <c r="F133" s="22"/>
      <c r="G133" s="22"/>
      <c r="H133" s="22"/>
      <c r="I133" s="22"/>
      <c r="J133" s="22"/>
    </row>
    <row r="134" ht="18" customHeight="1" spans="2:10" x14ac:dyDescent="0.25">
      <c r="B134" s="23" t="s">
        <v>22</v>
      </c>
      <c r="C134" s="23" t="s">
        <v>19</v>
      </c>
      <c r="D134" s="24" t="s">
        <v>4</v>
      </c>
      <c r="E134" s="24" t="s">
        <v>23</v>
      </c>
      <c r="F134" s="25" t="s">
        <v>13</v>
      </c>
      <c r="G134" s="25" t="s">
        <v>24</v>
      </c>
      <c r="H134" s="25" t="s">
        <v>25</v>
      </c>
      <c r="I134" s="25" t="s">
        <v>4</v>
      </c>
      <c r="J134" s="25" t="s">
        <v>14</v>
      </c>
    </row>
    <row r="135" spans="1:11" x14ac:dyDescent="0.25">
      <c r="A135" s="26">
        <v>46302</v>
      </c>
      <c r="B135" s="27" t="s">
        <v>26</v>
      </c>
      <c r="C135" s="28"/>
      <c r="D135" s="29"/>
      <c r="E135" s="29"/>
      <c r="F135" s="30">
        <f>IF($C135="","",IF($E135="",30,$E135)/60)</f>
      </c>
      <c r="G135" s="30">
        <f>IF($C135="","",(30-IF($E135="",30,$E135))/60)</f>
      </c>
      <c r="H135" s="30">
        <f>IF($C135="",0,IF(IFERROR(VLOOKUP($C135,Setup!$A$2:$B$60,2,FALSE),"N")="Y",$F135,0))</f>
      </c>
      <c r="I135" s="31">
        <f>IF($C135="",0,IF(IFERROR(VLOOKUP($C135,Setup!$A$2:$B$60,2,FALSE),"N")="Y",N($D135),0))</f>
      </c>
      <c r="J135" s="30">
        <f>IF($H135&gt;0,$I135/$H135,"")</f>
      </c>
      <c r="K135" s="32">
        <f>IF($F153&gt;0,9,0)</f>
      </c>
    </row>
    <row r="136" spans="1:10" x14ac:dyDescent="0.25">
      <c r="A136" s="33">
        <v>46302</v>
      </c>
      <c r="B136" s="34" t="s">
        <v>27</v>
      </c>
      <c r="C136" s="35"/>
      <c r="D136" s="36"/>
      <c r="E136" s="36"/>
      <c r="F136" s="37">
        <f>IF($C136="","",IF($E136="",30,$E136)/60)</f>
      </c>
      <c r="G136" s="37">
        <f>IF($C136="","",(30-IF($E136="",30,$E136))/60)</f>
      </c>
      <c r="H136" s="37">
        <f>IF($C136="",0,IF(IFERROR(VLOOKUP($C136,Setup!$A$2:$B$60,2,FALSE),"N")="Y",$F136,0))</f>
      </c>
      <c r="I136" s="38">
        <f>IF($C136="",0,IF(IFERROR(VLOOKUP($C136,Setup!$A$2:$B$60,2,FALSE),"N")="Y",N($D136),0))</f>
      </c>
      <c r="J136" s="37">
        <f>IF($H136&gt;0,$I136/$H136,"")</f>
      </c>
    </row>
    <row r="137" spans="1:10" x14ac:dyDescent="0.25">
      <c r="A137" s="26">
        <v>46302</v>
      </c>
      <c r="B137" s="27" t="s">
        <v>28</v>
      </c>
      <c r="C137" s="28"/>
      <c r="D137" s="29"/>
      <c r="E137" s="29"/>
      <c r="F137" s="30">
        <f>IF($C137="","",IF($E137="",30,$E137)/60)</f>
      </c>
      <c r="G137" s="30">
        <f>IF($C137="","",(30-IF($E137="",30,$E137))/60)</f>
      </c>
      <c r="H137" s="30">
        <f>IF($C137="",0,IF(IFERROR(VLOOKUP($C137,Setup!$A$2:$B$60,2,FALSE),"N")="Y",$F137,0))</f>
      </c>
      <c r="I137" s="31">
        <f>IF($C137="",0,IF(IFERROR(VLOOKUP($C137,Setup!$A$2:$B$60,2,FALSE),"N")="Y",N($D137),0))</f>
      </c>
      <c r="J137" s="30">
        <f>IF($H137&gt;0,$I137/$H137,"")</f>
      </c>
    </row>
    <row r="138" spans="1:10" x14ac:dyDescent="0.25">
      <c r="A138" s="33">
        <v>46302</v>
      </c>
      <c r="B138" s="34" t="s">
        <v>29</v>
      </c>
      <c r="C138" s="35"/>
      <c r="D138" s="36"/>
      <c r="E138" s="36"/>
      <c r="F138" s="37">
        <f>IF($C138="","",IF($E138="",30,$E138)/60)</f>
      </c>
      <c r="G138" s="37">
        <f>IF($C138="","",(30-IF($E138="",30,$E138))/60)</f>
      </c>
      <c r="H138" s="37">
        <f>IF($C138="",0,IF(IFERROR(VLOOKUP($C138,Setup!$A$2:$B$60,2,FALSE),"N")="Y",$F138,0))</f>
      </c>
      <c r="I138" s="38">
        <f>IF($C138="",0,IF(IFERROR(VLOOKUP($C138,Setup!$A$2:$B$60,2,FALSE),"N")="Y",N($D138),0))</f>
      </c>
      <c r="J138" s="37">
        <f>IF($H138&gt;0,$I138/$H138,"")</f>
      </c>
    </row>
    <row r="139" spans="1:10" x14ac:dyDescent="0.25">
      <c r="A139" s="26">
        <v>46302</v>
      </c>
      <c r="B139" s="27" t="s">
        <v>30</v>
      </c>
      <c r="C139" s="28"/>
      <c r="D139" s="29"/>
      <c r="E139" s="29"/>
      <c r="F139" s="30">
        <f>IF($C139="","",IF($E139="",30,$E139)/60)</f>
      </c>
      <c r="G139" s="30">
        <f>IF($C139="","",(30-IF($E139="",30,$E139))/60)</f>
      </c>
      <c r="H139" s="30">
        <f>IF($C139="",0,IF(IFERROR(VLOOKUP($C139,Setup!$A$2:$B$60,2,FALSE),"N")="Y",$F139,0))</f>
      </c>
      <c r="I139" s="31">
        <f>IF($C139="",0,IF(IFERROR(VLOOKUP($C139,Setup!$A$2:$B$60,2,FALSE),"N")="Y",N($D139),0))</f>
      </c>
      <c r="J139" s="30">
        <f>IF($H139&gt;0,$I139/$H139,"")</f>
      </c>
    </row>
    <row r="140" spans="1:10" x14ac:dyDescent="0.25">
      <c r="A140" s="33">
        <v>46302</v>
      </c>
      <c r="B140" s="34" t="s">
        <v>31</v>
      </c>
      <c r="C140" s="35"/>
      <c r="D140" s="36"/>
      <c r="E140" s="36"/>
      <c r="F140" s="37">
        <f>IF($C140="","",IF($E140="",30,$E140)/60)</f>
      </c>
      <c r="G140" s="37">
        <f>IF($C140="","",(30-IF($E140="",30,$E140))/60)</f>
      </c>
      <c r="H140" s="37">
        <f>IF($C140="",0,IF(IFERROR(VLOOKUP($C140,Setup!$A$2:$B$60,2,FALSE),"N")="Y",$F140,0))</f>
      </c>
      <c r="I140" s="38">
        <f>IF($C140="",0,IF(IFERROR(VLOOKUP($C140,Setup!$A$2:$B$60,2,FALSE),"N")="Y",N($D140),0))</f>
      </c>
      <c r="J140" s="37">
        <f>IF($H140&gt;0,$I140/$H140,"")</f>
      </c>
    </row>
    <row r="141" spans="1:10" x14ac:dyDescent="0.25">
      <c r="A141" s="26">
        <v>46302</v>
      </c>
      <c r="B141" s="27" t="s">
        <v>32</v>
      </c>
      <c r="C141" s="28"/>
      <c r="D141" s="29"/>
      <c r="E141" s="29"/>
      <c r="F141" s="30">
        <f>IF($C141="","",IF($E141="",30,$E141)/60)</f>
      </c>
      <c r="G141" s="30">
        <f>IF($C141="","",(30-IF($E141="",30,$E141))/60)</f>
      </c>
      <c r="H141" s="30">
        <f>IF($C141="",0,IF(IFERROR(VLOOKUP($C141,Setup!$A$2:$B$60,2,FALSE),"N")="Y",$F141,0))</f>
      </c>
      <c r="I141" s="31">
        <f>IF($C141="",0,IF(IFERROR(VLOOKUP($C141,Setup!$A$2:$B$60,2,FALSE),"N")="Y",N($D141),0))</f>
      </c>
      <c r="J141" s="30">
        <f>IF($H141&gt;0,$I141/$H141,"")</f>
      </c>
    </row>
    <row r="142" spans="1:10" x14ac:dyDescent="0.25">
      <c r="A142" s="33">
        <v>46302</v>
      </c>
      <c r="B142" s="34" t="s">
        <v>33</v>
      </c>
      <c r="C142" s="35"/>
      <c r="D142" s="36"/>
      <c r="E142" s="36"/>
      <c r="F142" s="37">
        <f>IF($C142="","",IF($E142="",30,$E142)/60)</f>
      </c>
      <c r="G142" s="37">
        <f>IF($C142="","",(30-IF($E142="",30,$E142))/60)</f>
      </c>
      <c r="H142" s="37">
        <f>IF($C142="",0,IF(IFERROR(VLOOKUP($C142,Setup!$A$2:$B$60,2,FALSE),"N")="Y",$F142,0))</f>
      </c>
      <c r="I142" s="38">
        <f>IF($C142="",0,IF(IFERROR(VLOOKUP($C142,Setup!$A$2:$B$60,2,FALSE),"N")="Y",N($D142),0))</f>
      </c>
      <c r="J142" s="37">
        <f>IF($H142&gt;0,$I142/$H142,"")</f>
      </c>
    </row>
    <row r="143" spans="1:10" x14ac:dyDescent="0.25">
      <c r="A143" s="26">
        <v>46302</v>
      </c>
      <c r="B143" s="27" t="s">
        <v>34</v>
      </c>
      <c r="C143" s="28"/>
      <c r="D143" s="29"/>
      <c r="E143" s="29"/>
      <c r="F143" s="30">
        <f>IF($C143="","",IF($E143="",30,$E143)/60)</f>
      </c>
      <c r="G143" s="30">
        <f>IF($C143="","",(30-IF($E143="",30,$E143))/60)</f>
      </c>
      <c r="H143" s="30">
        <f>IF($C143="",0,IF(IFERROR(VLOOKUP($C143,Setup!$A$2:$B$60,2,FALSE),"N")="Y",$F143,0))</f>
      </c>
      <c r="I143" s="31">
        <f>IF($C143="",0,IF(IFERROR(VLOOKUP($C143,Setup!$A$2:$B$60,2,FALSE),"N")="Y",N($D143),0))</f>
      </c>
      <c r="J143" s="30">
        <f>IF($H143&gt;0,$I143/$H143,"")</f>
      </c>
    </row>
    <row r="144" spans="1:10" x14ac:dyDescent="0.25">
      <c r="A144" s="33">
        <v>46302</v>
      </c>
      <c r="B144" s="34" t="s">
        <v>35</v>
      </c>
      <c r="C144" s="35"/>
      <c r="D144" s="36"/>
      <c r="E144" s="36"/>
      <c r="F144" s="37">
        <f>IF($C144="","",IF($E144="",30,$E144)/60)</f>
      </c>
      <c r="G144" s="37">
        <f>IF($C144="","",(30-IF($E144="",30,$E144))/60)</f>
      </c>
      <c r="H144" s="37">
        <f>IF($C144="",0,IF(IFERROR(VLOOKUP($C144,Setup!$A$2:$B$60,2,FALSE),"N")="Y",$F144,0))</f>
      </c>
      <c r="I144" s="38">
        <f>IF($C144="",0,IF(IFERROR(VLOOKUP($C144,Setup!$A$2:$B$60,2,FALSE),"N")="Y",N($D144),0))</f>
      </c>
      <c r="J144" s="37">
        <f>IF($H144&gt;0,$I144/$H144,"")</f>
      </c>
    </row>
    <row r="145" spans="1:10" x14ac:dyDescent="0.25">
      <c r="A145" s="26">
        <v>46302</v>
      </c>
      <c r="B145" s="27" t="s">
        <v>36</v>
      </c>
      <c r="C145" s="28"/>
      <c r="D145" s="29"/>
      <c r="E145" s="29"/>
      <c r="F145" s="30">
        <f>IF($C145="","",IF($E145="",30,$E145)/60)</f>
      </c>
      <c r="G145" s="30">
        <f>IF($C145="","",(30-IF($E145="",30,$E145))/60)</f>
      </c>
      <c r="H145" s="30">
        <f>IF($C145="",0,IF(IFERROR(VLOOKUP($C145,Setup!$A$2:$B$60,2,FALSE),"N")="Y",$F145,0))</f>
      </c>
      <c r="I145" s="31">
        <f>IF($C145="",0,IF(IFERROR(VLOOKUP($C145,Setup!$A$2:$B$60,2,FALSE),"N")="Y",N($D145),0))</f>
      </c>
      <c r="J145" s="30">
        <f>IF($H145&gt;0,$I145/$H145,"")</f>
      </c>
    </row>
    <row r="146" spans="1:10" x14ac:dyDescent="0.25">
      <c r="A146" s="33">
        <v>46302</v>
      </c>
      <c r="B146" s="34" t="s">
        <v>37</v>
      </c>
      <c r="C146" s="35"/>
      <c r="D146" s="36"/>
      <c r="E146" s="36"/>
      <c r="F146" s="37">
        <f>IF($C146="","",IF($E146="",30,$E146)/60)</f>
      </c>
      <c r="G146" s="37">
        <f>IF($C146="","",(30-IF($E146="",30,$E146))/60)</f>
      </c>
      <c r="H146" s="37">
        <f>IF($C146="",0,IF(IFERROR(VLOOKUP($C146,Setup!$A$2:$B$60,2,FALSE),"N")="Y",$F146,0))</f>
      </c>
      <c r="I146" s="38">
        <f>IF($C146="",0,IF(IFERROR(VLOOKUP($C146,Setup!$A$2:$B$60,2,FALSE),"N")="Y",N($D146),0))</f>
      </c>
      <c r="J146" s="37">
        <f>IF($H146&gt;0,$I146/$H146,"")</f>
      </c>
    </row>
    <row r="147" spans="1:10" x14ac:dyDescent="0.25">
      <c r="A147" s="26">
        <v>46302</v>
      </c>
      <c r="B147" s="27" t="s">
        <v>38</v>
      </c>
      <c r="C147" s="28"/>
      <c r="D147" s="29"/>
      <c r="E147" s="29"/>
      <c r="F147" s="30">
        <f>IF($C147="","",IF($E147="",30,$E147)/60)</f>
      </c>
      <c r="G147" s="30">
        <f>IF($C147="","",(30-IF($E147="",30,$E147))/60)</f>
      </c>
      <c r="H147" s="30">
        <f>IF($C147="",0,IF(IFERROR(VLOOKUP($C147,Setup!$A$2:$B$60,2,FALSE),"N")="Y",$F147,0))</f>
      </c>
      <c r="I147" s="31">
        <f>IF($C147="",0,IF(IFERROR(VLOOKUP($C147,Setup!$A$2:$B$60,2,FALSE),"N")="Y",N($D147),0))</f>
      </c>
      <c r="J147" s="30">
        <f>IF($H147&gt;0,$I147/$H147,"")</f>
      </c>
    </row>
    <row r="148" spans="1:10" x14ac:dyDescent="0.25">
      <c r="A148" s="33">
        <v>46302</v>
      </c>
      <c r="B148" s="34" t="s">
        <v>39</v>
      </c>
      <c r="C148" s="35"/>
      <c r="D148" s="36"/>
      <c r="E148" s="36"/>
      <c r="F148" s="37">
        <f>IF($C148="","",IF($E148="",30,$E148)/60)</f>
      </c>
      <c r="G148" s="37">
        <f>IF($C148="","",(30-IF($E148="",30,$E148))/60)</f>
      </c>
      <c r="H148" s="37">
        <f>IF($C148="",0,IF(IFERROR(VLOOKUP($C148,Setup!$A$2:$B$60,2,FALSE),"N")="Y",$F148,0))</f>
      </c>
      <c r="I148" s="38">
        <f>IF($C148="",0,IF(IFERROR(VLOOKUP($C148,Setup!$A$2:$B$60,2,FALSE),"N")="Y",N($D148),0))</f>
      </c>
      <c r="J148" s="37">
        <f>IF($H148&gt;0,$I148/$H148,"")</f>
      </c>
    </row>
    <row r="149" spans="1:10" x14ac:dyDescent="0.25">
      <c r="A149" s="26">
        <v>46302</v>
      </c>
      <c r="B149" s="27" t="s">
        <v>40</v>
      </c>
      <c r="C149" s="28"/>
      <c r="D149" s="29"/>
      <c r="E149" s="29"/>
      <c r="F149" s="30">
        <f>IF($C149="","",IF($E149="",30,$E149)/60)</f>
      </c>
      <c r="G149" s="30">
        <f>IF($C149="","",(30-IF($E149="",30,$E149))/60)</f>
      </c>
      <c r="H149" s="30">
        <f>IF($C149="",0,IF(IFERROR(VLOOKUP($C149,Setup!$A$2:$B$60,2,FALSE),"N")="Y",$F149,0))</f>
      </c>
      <c r="I149" s="31">
        <f>IF($C149="",0,IF(IFERROR(VLOOKUP($C149,Setup!$A$2:$B$60,2,FALSE),"N")="Y",N($D149),0))</f>
      </c>
      <c r="J149" s="30">
        <f>IF($H149&gt;0,$I149/$H149,"")</f>
      </c>
    </row>
    <row r="150" spans="1:10" x14ac:dyDescent="0.25">
      <c r="A150" s="33">
        <v>46302</v>
      </c>
      <c r="B150" s="34" t="s">
        <v>41</v>
      </c>
      <c r="C150" s="35"/>
      <c r="D150" s="36"/>
      <c r="E150" s="36"/>
      <c r="F150" s="37">
        <f>IF($C150="","",IF($E150="",30,$E150)/60)</f>
      </c>
      <c r="G150" s="37">
        <f>IF($C150="","",(30-IF($E150="",30,$E150))/60)</f>
      </c>
      <c r="H150" s="37">
        <f>IF($C150="",0,IF(IFERROR(VLOOKUP($C150,Setup!$A$2:$B$60,2,FALSE),"N")="Y",$F150,0))</f>
      </c>
      <c r="I150" s="38">
        <f>IF($C150="",0,IF(IFERROR(VLOOKUP($C150,Setup!$A$2:$B$60,2,FALSE),"N")="Y",N($D150),0))</f>
      </c>
      <c r="J150" s="37">
        <f>IF($H150&gt;0,$I150/$H150,"")</f>
      </c>
    </row>
    <row r="151" spans="1:10" x14ac:dyDescent="0.25">
      <c r="A151" s="26">
        <v>46302</v>
      </c>
      <c r="B151" s="27" t="s">
        <v>42</v>
      </c>
      <c r="C151" s="28"/>
      <c r="D151" s="29"/>
      <c r="E151" s="29"/>
      <c r="F151" s="30">
        <f>IF($C151="","",IF($E151="",30,$E151)/60)</f>
      </c>
      <c r="G151" s="30">
        <f>IF($C151="","",(30-IF($E151="",30,$E151))/60)</f>
      </c>
      <c r="H151" s="30">
        <f>IF($C151="",0,IF(IFERROR(VLOOKUP($C151,Setup!$A$2:$B$60,2,FALSE),"N")="Y",$F151,0))</f>
      </c>
      <c r="I151" s="31">
        <f>IF($C151="",0,IF(IFERROR(VLOOKUP($C151,Setup!$A$2:$B$60,2,FALSE),"N")="Y",N($D151),0))</f>
      </c>
      <c r="J151" s="30">
        <f>IF($H151&gt;0,$I151/$H151,"")</f>
      </c>
    </row>
    <row r="152" spans="1:10" x14ac:dyDescent="0.25">
      <c r="A152" s="33">
        <v>46302</v>
      </c>
      <c r="B152" s="34" t="s">
        <v>43</v>
      </c>
      <c r="C152" s="35"/>
      <c r="D152" s="36"/>
      <c r="E152" s="36"/>
      <c r="F152" s="37">
        <f>IF($C152="","",IF($E152="",30,$E152)/60)</f>
      </c>
      <c r="G152" s="37">
        <f>IF($C152="","",(30-IF($E152="",30,$E152))/60)</f>
      </c>
      <c r="H152" s="37">
        <f>IF($C152="",0,IF(IFERROR(VLOOKUP($C152,Setup!$A$2:$B$60,2,FALSE),"N")="Y",$F152,0))</f>
      </c>
      <c r="I152" s="38">
        <f>IF($C152="",0,IF(IFERROR(VLOOKUP($C152,Setup!$A$2:$B$60,2,FALSE),"N")="Y",N($D152),0))</f>
      </c>
      <c r="J152" s="37">
        <f>IF($H152&gt;0,$I152/$H152,"")</f>
      </c>
    </row>
    <row r="153" spans="2:10" x14ac:dyDescent="0.25">
      <c r="B153" s="39" t="s">
        <v>44</v>
      </c>
      <c r="C153" s="40"/>
      <c r="D153" s="41">
        <f>SUM(I135:I152)</f>
      </c>
      <c r="E153" s="40"/>
      <c r="F153" s="42">
        <f>SUM(F135:F152)</f>
      </c>
      <c r="G153" s="42">
        <f>SUM(G135:G152)</f>
      </c>
      <c r="H153" s="42">
        <f>SUM(H135:H152)</f>
      </c>
      <c r="I153" s="40"/>
      <c r="J153" s="42">
        <f>IF(H153&gt;0,D153/H153,"")</f>
      </c>
    </row>
    <row r="155" ht="26" customHeight="1" spans="2:10" x14ac:dyDescent="0.25">
      <c r="B155" s="21">
        <v>46303</v>
      </c>
      <c r="C155" s="21"/>
      <c r="D155" s="21"/>
      <c r="E155" s="22" t="s">
        <v>21</v>
      </c>
      <c r="F155" s="22"/>
      <c r="G155" s="22"/>
      <c r="H155" s="22"/>
      <c r="I155" s="22"/>
      <c r="J155" s="22"/>
    </row>
    <row r="156" ht="18" customHeight="1" spans="2:10" x14ac:dyDescent="0.25">
      <c r="B156" s="23" t="s">
        <v>22</v>
      </c>
      <c r="C156" s="23" t="s">
        <v>19</v>
      </c>
      <c r="D156" s="24" t="s">
        <v>4</v>
      </c>
      <c r="E156" s="24" t="s">
        <v>23</v>
      </c>
      <c r="F156" s="25" t="s">
        <v>13</v>
      </c>
      <c r="G156" s="25" t="s">
        <v>24</v>
      </c>
      <c r="H156" s="25" t="s">
        <v>25</v>
      </c>
      <c r="I156" s="25" t="s">
        <v>4</v>
      </c>
      <c r="J156" s="25" t="s">
        <v>14</v>
      </c>
    </row>
    <row r="157" spans="1:11" x14ac:dyDescent="0.25">
      <c r="A157" s="26">
        <v>46303</v>
      </c>
      <c r="B157" s="27" t="s">
        <v>26</v>
      </c>
      <c r="C157" s="28"/>
      <c r="D157" s="29"/>
      <c r="E157" s="29"/>
      <c r="F157" s="30">
        <f>IF($C157="","",IF($E157="",30,$E157)/60)</f>
      </c>
      <c r="G157" s="30">
        <f>IF($C157="","",(30-IF($E157="",30,$E157))/60)</f>
      </c>
      <c r="H157" s="30">
        <f>IF($C157="",0,IF(IFERROR(VLOOKUP($C157,Setup!$A$2:$B$60,2,FALSE),"N")="Y",$F157,0))</f>
      </c>
      <c r="I157" s="31">
        <f>IF($C157="",0,IF(IFERROR(VLOOKUP($C157,Setup!$A$2:$B$60,2,FALSE),"N")="Y",N($D157),0))</f>
      </c>
      <c r="J157" s="30">
        <f>IF($H157&gt;0,$I157/$H157,"")</f>
      </c>
      <c r="K157" s="32">
        <f>IF($F175&gt;0,9,0)</f>
      </c>
    </row>
    <row r="158" spans="1:10" x14ac:dyDescent="0.25">
      <c r="A158" s="33">
        <v>46303</v>
      </c>
      <c r="B158" s="34" t="s">
        <v>27</v>
      </c>
      <c r="C158" s="35"/>
      <c r="D158" s="36"/>
      <c r="E158" s="36"/>
      <c r="F158" s="37">
        <f>IF($C158="","",IF($E158="",30,$E158)/60)</f>
      </c>
      <c r="G158" s="37">
        <f>IF($C158="","",(30-IF($E158="",30,$E158))/60)</f>
      </c>
      <c r="H158" s="37">
        <f>IF($C158="",0,IF(IFERROR(VLOOKUP($C158,Setup!$A$2:$B$60,2,FALSE),"N")="Y",$F158,0))</f>
      </c>
      <c r="I158" s="38">
        <f>IF($C158="",0,IF(IFERROR(VLOOKUP($C158,Setup!$A$2:$B$60,2,FALSE),"N")="Y",N($D158),0))</f>
      </c>
      <c r="J158" s="37">
        <f>IF($H158&gt;0,$I158/$H158,"")</f>
      </c>
    </row>
    <row r="159" spans="1:10" x14ac:dyDescent="0.25">
      <c r="A159" s="26">
        <v>46303</v>
      </c>
      <c r="B159" s="27" t="s">
        <v>28</v>
      </c>
      <c r="C159" s="28"/>
      <c r="D159" s="29"/>
      <c r="E159" s="29"/>
      <c r="F159" s="30">
        <f>IF($C159="","",IF($E159="",30,$E159)/60)</f>
      </c>
      <c r="G159" s="30">
        <f>IF($C159="","",(30-IF($E159="",30,$E159))/60)</f>
      </c>
      <c r="H159" s="30">
        <f>IF($C159="",0,IF(IFERROR(VLOOKUP($C159,Setup!$A$2:$B$60,2,FALSE),"N")="Y",$F159,0))</f>
      </c>
      <c r="I159" s="31">
        <f>IF($C159="",0,IF(IFERROR(VLOOKUP($C159,Setup!$A$2:$B$60,2,FALSE),"N")="Y",N($D159),0))</f>
      </c>
      <c r="J159" s="30">
        <f>IF($H159&gt;0,$I159/$H159,"")</f>
      </c>
    </row>
    <row r="160" spans="1:10" x14ac:dyDescent="0.25">
      <c r="A160" s="33">
        <v>46303</v>
      </c>
      <c r="B160" s="34" t="s">
        <v>29</v>
      </c>
      <c r="C160" s="35"/>
      <c r="D160" s="36"/>
      <c r="E160" s="36"/>
      <c r="F160" s="37">
        <f>IF($C160="","",IF($E160="",30,$E160)/60)</f>
      </c>
      <c r="G160" s="37">
        <f>IF($C160="","",(30-IF($E160="",30,$E160))/60)</f>
      </c>
      <c r="H160" s="37">
        <f>IF($C160="",0,IF(IFERROR(VLOOKUP($C160,Setup!$A$2:$B$60,2,FALSE),"N")="Y",$F160,0))</f>
      </c>
      <c r="I160" s="38">
        <f>IF($C160="",0,IF(IFERROR(VLOOKUP($C160,Setup!$A$2:$B$60,2,FALSE),"N")="Y",N($D160),0))</f>
      </c>
      <c r="J160" s="37">
        <f>IF($H160&gt;0,$I160/$H160,"")</f>
      </c>
    </row>
    <row r="161" spans="1:10" x14ac:dyDescent="0.25">
      <c r="A161" s="26">
        <v>46303</v>
      </c>
      <c r="B161" s="27" t="s">
        <v>30</v>
      </c>
      <c r="C161" s="28"/>
      <c r="D161" s="29"/>
      <c r="E161" s="29"/>
      <c r="F161" s="30">
        <f>IF($C161="","",IF($E161="",30,$E161)/60)</f>
      </c>
      <c r="G161" s="30">
        <f>IF($C161="","",(30-IF($E161="",30,$E161))/60)</f>
      </c>
      <c r="H161" s="30">
        <f>IF($C161="",0,IF(IFERROR(VLOOKUP($C161,Setup!$A$2:$B$60,2,FALSE),"N")="Y",$F161,0))</f>
      </c>
      <c r="I161" s="31">
        <f>IF($C161="",0,IF(IFERROR(VLOOKUP($C161,Setup!$A$2:$B$60,2,FALSE),"N")="Y",N($D161),0))</f>
      </c>
      <c r="J161" s="30">
        <f>IF($H161&gt;0,$I161/$H161,"")</f>
      </c>
    </row>
    <row r="162" spans="1:10" x14ac:dyDescent="0.25">
      <c r="A162" s="33">
        <v>46303</v>
      </c>
      <c r="B162" s="34" t="s">
        <v>31</v>
      </c>
      <c r="C162" s="35"/>
      <c r="D162" s="36"/>
      <c r="E162" s="36"/>
      <c r="F162" s="37">
        <f>IF($C162="","",IF($E162="",30,$E162)/60)</f>
      </c>
      <c r="G162" s="37">
        <f>IF($C162="","",(30-IF($E162="",30,$E162))/60)</f>
      </c>
      <c r="H162" s="37">
        <f>IF($C162="",0,IF(IFERROR(VLOOKUP($C162,Setup!$A$2:$B$60,2,FALSE),"N")="Y",$F162,0))</f>
      </c>
      <c r="I162" s="38">
        <f>IF($C162="",0,IF(IFERROR(VLOOKUP($C162,Setup!$A$2:$B$60,2,FALSE),"N")="Y",N($D162),0))</f>
      </c>
      <c r="J162" s="37">
        <f>IF($H162&gt;0,$I162/$H162,"")</f>
      </c>
    </row>
    <row r="163" spans="1:10" x14ac:dyDescent="0.25">
      <c r="A163" s="26">
        <v>46303</v>
      </c>
      <c r="B163" s="27" t="s">
        <v>32</v>
      </c>
      <c r="C163" s="28"/>
      <c r="D163" s="29"/>
      <c r="E163" s="29"/>
      <c r="F163" s="30">
        <f>IF($C163="","",IF($E163="",30,$E163)/60)</f>
      </c>
      <c r="G163" s="30">
        <f>IF($C163="","",(30-IF($E163="",30,$E163))/60)</f>
      </c>
      <c r="H163" s="30">
        <f>IF($C163="",0,IF(IFERROR(VLOOKUP($C163,Setup!$A$2:$B$60,2,FALSE),"N")="Y",$F163,0))</f>
      </c>
      <c r="I163" s="31">
        <f>IF($C163="",0,IF(IFERROR(VLOOKUP($C163,Setup!$A$2:$B$60,2,FALSE),"N")="Y",N($D163),0))</f>
      </c>
      <c r="J163" s="30">
        <f>IF($H163&gt;0,$I163/$H163,"")</f>
      </c>
    </row>
    <row r="164" spans="1:10" x14ac:dyDescent="0.25">
      <c r="A164" s="33">
        <v>46303</v>
      </c>
      <c r="B164" s="34" t="s">
        <v>33</v>
      </c>
      <c r="C164" s="35"/>
      <c r="D164" s="36"/>
      <c r="E164" s="36"/>
      <c r="F164" s="37">
        <f>IF($C164="","",IF($E164="",30,$E164)/60)</f>
      </c>
      <c r="G164" s="37">
        <f>IF($C164="","",(30-IF($E164="",30,$E164))/60)</f>
      </c>
      <c r="H164" s="37">
        <f>IF($C164="",0,IF(IFERROR(VLOOKUP($C164,Setup!$A$2:$B$60,2,FALSE),"N")="Y",$F164,0))</f>
      </c>
      <c r="I164" s="38">
        <f>IF($C164="",0,IF(IFERROR(VLOOKUP($C164,Setup!$A$2:$B$60,2,FALSE),"N")="Y",N($D164),0))</f>
      </c>
      <c r="J164" s="37">
        <f>IF($H164&gt;0,$I164/$H164,"")</f>
      </c>
    </row>
    <row r="165" spans="1:10" x14ac:dyDescent="0.25">
      <c r="A165" s="26">
        <v>46303</v>
      </c>
      <c r="B165" s="27" t="s">
        <v>34</v>
      </c>
      <c r="C165" s="28"/>
      <c r="D165" s="29"/>
      <c r="E165" s="29"/>
      <c r="F165" s="30">
        <f>IF($C165="","",IF($E165="",30,$E165)/60)</f>
      </c>
      <c r="G165" s="30">
        <f>IF($C165="","",(30-IF($E165="",30,$E165))/60)</f>
      </c>
      <c r="H165" s="30">
        <f>IF($C165="",0,IF(IFERROR(VLOOKUP($C165,Setup!$A$2:$B$60,2,FALSE),"N")="Y",$F165,0))</f>
      </c>
      <c r="I165" s="31">
        <f>IF($C165="",0,IF(IFERROR(VLOOKUP($C165,Setup!$A$2:$B$60,2,FALSE),"N")="Y",N($D165),0))</f>
      </c>
      <c r="J165" s="30">
        <f>IF($H165&gt;0,$I165/$H165,"")</f>
      </c>
    </row>
    <row r="166" spans="1:10" x14ac:dyDescent="0.25">
      <c r="A166" s="33">
        <v>46303</v>
      </c>
      <c r="B166" s="34" t="s">
        <v>35</v>
      </c>
      <c r="C166" s="35"/>
      <c r="D166" s="36"/>
      <c r="E166" s="36"/>
      <c r="F166" s="37">
        <f>IF($C166="","",IF($E166="",30,$E166)/60)</f>
      </c>
      <c r="G166" s="37">
        <f>IF($C166="","",(30-IF($E166="",30,$E166))/60)</f>
      </c>
      <c r="H166" s="37">
        <f>IF($C166="",0,IF(IFERROR(VLOOKUP($C166,Setup!$A$2:$B$60,2,FALSE),"N")="Y",$F166,0))</f>
      </c>
      <c r="I166" s="38">
        <f>IF($C166="",0,IF(IFERROR(VLOOKUP($C166,Setup!$A$2:$B$60,2,FALSE),"N")="Y",N($D166),0))</f>
      </c>
      <c r="J166" s="37">
        <f>IF($H166&gt;0,$I166/$H166,"")</f>
      </c>
    </row>
    <row r="167" spans="1:10" x14ac:dyDescent="0.25">
      <c r="A167" s="26">
        <v>46303</v>
      </c>
      <c r="B167" s="27" t="s">
        <v>36</v>
      </c>
      <c r="C167" s="28"/>
      <c r="D167" s="29"/>
      <c r="E167" s="29"/>
      <c r="F167" s="30">
        <f>IF($C167="","",IF($E167="",30,$E167)/60)</f>
      </c>
      <c r="G167" s="30">
        <f>IF($C167="","",(30-IF($E167="",30,$E167))/60)</f>
      </c>
      <c r="H167" s="30">
        <f>IF($C167="",0,IF(IFERROR(VLOOKUP($C167,Setup!$A$2:$B$60,2,FALSE),"N")="Y",$F167,0))</f>
      </c>
      <c r="I167" s="31">
        <f>IF($C167="",0,IF(IFERROR(VLOOKUP($C167,Setup!$A$2:$B$60,2,FALSE),"N")="Y",N($D167),0))</f>
      </c>
      <c r="J167" s="30">
        <f>IF($H167&gt;0,$I167/$H167,"")</f>
      </c>
    </row>
    <row r="168" spans="1:10" x14ac:dyDescent="0.25">
      <c r="A168" s="33">
        <v>46303</v>
      </c>
      <c r="B168" s="34" t="s">
        <v>37</v>
      </c>
      <c r="C168" s="35"/>
      <c r="D168" s="36"/>
      <c r="E168" s="36"/>
      <c r="F168" s="37">
        <f>IF($C168="","",IF($E168="",30,$E168)/60)</f>
      </c>
      <c r="G168" s="37">
        <f>IF($C168="","",(30-IF($E168="",30,$E168))/60)</f>
      </c>
      <c r="H168" s="37">
        <f>IF($C168="",0,IF(IFERROR(VLOOKUP($C168,Setup!$A$2:$B$60,2,FALSE),"N")="Y",$F168,0))</f>
      </c>
      <c r="I168" s="38">
        <f>IF($C168="",0,IF(IFERROR(VLOOKUP($C168,Setup!$A$2:$B$60,2,FALSE),"N")="Y",N($D168),0))</f>
      </c>
      <c r="J168" s="37">
        <f>IF($H168&gt;0,$I168/$H168,"")</f>
      </c>
    </row>
    <row r="169" spans="1:10" x14ac:dyDescent="0.25">
      <c r="A169" s="26">
        <v>46303</v>
      </c>
      <c r="B169" s="27" t="s">
        <v>38</v>
      </c>
      <c r="C169" s="28"/>
      <c r="D169" s="29"/>
      <c r="E169" s="29"/>
      <c r="F169" s="30">
        <f>IF($C169="","",IF($E169="",30,$E169)/60)</f>
      </c>
      <c r="G169" s="30">
        <f>IF($C169="","",(30-IF($E169="",30,$E169))/60)</f>
      </c>
      <c r="H169" s="30">
        <f>IF($C169="",0,IF(IFERROR(VLOOKUP($C169,Setup!$A$2:$B$60,2,FALSE),"N")="Y",$F169,0))</f>
      </c>
      <c r="I169" s="31">
        <f>IF($C169="",0,IF(IFERROR(VLOOKUP($C169,Setup!$A$2:$B$60,2,FALSE),"N")="Y",N($D169),0))</f>
      </c>
      <c r="J169" s="30">
        <f>IF($H169&gt;0,$I169/$H169,"")</f>
      </c>
    </row>
    <row r="170" spans="1:10" x14ac:dyDescent="0.25">
      <c r="A170" s="33">
        <v>46303</v>
      </c>
      <c r="B170" s="34" t="s">
        <v>39</v>
      </c>
      <c r="C170" s="35"/>
      <c r="D170" s="36"/>
      <c r="E170" s="36"/>
      <c r="F170" s="37">
        <f>IF($C170="","",IF($E170="",30,$E170)/60)</f>
      </c>
      <c r="G170" s="37">
        <f>IF($C170="","",(30-IF($E170="",30,$E170))/60)</f>
      </c>
      <c r="H170" s="37">
        <f>IF($C170="",0,IF(IFERROR(VLOOKUP($C170,Setup!$A$2:$B$60,2,FALSE),"N")="Y",$F170,0))</f>
      </c>
      <c r="I170" s="38">
        <f>IF($C170="",0,IF(IFERROR(VLOOKUP($C170,Setup!$A$2:$B$60,2,FALSE),"N")="Y",N($D170),0))</f>
      </c>
      <c r="J170" s="37">
        <f>IF($H170&gt;0,$I170/$H170,"")</f>
      </c>
    </row>
    <row r="171" spans="1:10" x14ac:dyDescent="0.25">
      <c r="A171" s="26">
        <v>46303</v>
      </c>
      <c r="B171" s="27" t="s">
        <v>40</v>
      </c>
      <c r="C171" s="28"/>
      <c r="D171" s="29"/>
      <c r="E171" s="29"/>
      <c r="F171" s="30">
        <f>IF($C171="","",IF($E171="",30,$E171)/60)</f>
      </c>
      <c r="G171" s="30">
        <f>IF($C171="","",(30-IF($E171="",30,$E171))/60)</f>
      </c>
      <c r="H171" s="30">
        <f>IF($C171="",0,IF(IFERROR(VLOOKUP($C171,Setup!$A$2:$B$60,2,FALSE),"N")="Y",$F171,0))</f>
      </c>
      <c r="I171" s="31">
        <f>IF($C171="",0,IF(IFERROR(VLOOKUP($C171,Setup!$A$2:$B$60,2,FALSE),"N")="Y",N($D171),0))</f>
      </c>
      <c r="J171" s="30">
        <f>IF($H171&gt;0,$I171/$H171,"")</f>
      </c>
    </row>
    <row r="172" spans="1:10" x14ac:dyDescent="0.25">
      <c r="A172" s="33">
        <v>46303</v>
      </c>
      <c r="B172" s="34" t="s">
        <v>41</v>
      </c>
      <c r="C172" s="35"/>
      <c r="D172" s="36"/>
      <c r="E172" s="36"/>
      <c r="F172" s="37">
        <f>IF($C172="","",IF($E172="",30,$E172)/60)</f>
      </c>
      <c r="G172" s="37">
        <f>IF($C172="","",(30-IF($E172="",30,$E172))/60)</f>
      </c>
      <c r="H172" s="37">
        <f>IF($C172="",0,IF(IFERROR(VLOOKUP($C172,Setup!$A$2:$B$60,2,FALSE),"N")="Y",$F172,0))</f>
      </c>
      <c r="I172" s="38">
        <f>IF($C172="",0,IF(IFERROR(VLOOKUP($C172,Setup!$A$2:$B$60,2,FALSE),"N")="Y",N($D172),0))</f>
      </c>
      <c r="J172" s="37">
        <f>IF($H172&gt;0,$I172/$H172,"")</f>
      </c>
    </row>
    <row r="173" spans="1:10" x14ac:dyDescent="0.25">
      <c r="A173" s="26">
        <v>46303</v>
      </c>
      <c r="B173" s="27" t="s">
        <v>42</v>
      </c>
      <c r="C173" s="28"/>
      <c r="D173" s="29"/>
      <c r="E173" s="29"/>
      <c r="F173" s="30">
        <f>IF($C173="","",IF($E173="",30,$E173)/60)</f>
      </c>
      <c r="G173" s="30">
        <f>IF($C173="","",(30-IF($E173="",30,$E173))/60)</f>
      </c>
      <c r="H173" s="30">
        <f>IF($C173="",0,IF(IFERROR(VLOOKUP($C173,Setup!$A$2:$B$60,2,FALSE),"N")="Y",$F173,0))</f>
      </c>
      <c r="I173" s="31">
        <f>IF($C173="",0,IF(IFERROR(VLOOKUP($C173,Setup!$A$2:$B$60,2,FALSE),"N")="Y",N($D173),0))</f>
      </c>
      <c r="J173" s="30">
        <f>IF($H173&gt;0,$I173/$H173,"")</f>
      </c>
    </row>
    <row r="174" spans="1:10" x14ac:dyDescent="0.25">
      <c r="A174" s="33">
        <v>46303</v>
      </c>
      <c r="B174" s="34" t="s">
        <v>43</v>
      </c>
      <c r="C174" s="35"/>
      <c r="D174" s="36"/>
      <c r="E174" s="36"/>
      <c r="F174" s="37">
        <f>IF($C174="","",IF($E174="",30,$E174)/60)</f>
      </c>
      <c r="G174" s="37">
        <f>IF($C174="","",(30-IF($E174="",30,$E174))/60)</f>
      </c>
      <c r="H174" s="37">
        <f>IF($C174="",0,IF(IFERROR(VLOOKUP($C174,Setup!$A$2:$B$60,2,FALSE),"N")="Y",$F174,0))</f>
      </c>
      <c r="I174" s="38">
        <f>IF($C174="",0,IF(IFERROR(VLOOKUP($C174,Setup!$A$2:$B$60,2,FALSE),"N")="Y",N($D174),0))</f>
      </c>
      <c r="J174" s="37">
        <f>IF($H174&gt;0,$I174/$H174,"")</f>
      </c>
    </row>
    <row r="175" spans="2:10" x14ac:dyDescent="0.25">
      <c r="B175" s="39" t="s">
        <v>44</v>
      </c>
      <c r="C175" s="40"/>
      <c r="D175" s="41">
        <f>SUM(I157:I174)</f>
      </c>
      <c r="E175" s="40"/>
      <c r="F175" s="42">
        <f>SUM(F157:F174)</f>
      </c>
      <c r="G175" s="42">
        <f>SUM(G157:G174)</f>
      </c>
      <c r="H175" s="42">
        <f>SUM(H157:H174)</f>
      </c>
      <c r="I175" s="40"/>
      <c r="J175" s="42">
        <f>IF(H175&gt;0,D175/H175,"")</f>
      </c>
    </row>
    <row r="177" ht="26" customHeight="1" spans="2:10" x14ac:dyDescent="0.25">
      <c r="B177" s="21">
        <v>46304</v>
      </c>
      <c r="C177" s="21"/>
      <c r="D177" s="21"/>
      <c r="E177" s="22" t="s">
        <v>21</v>
      </c>
      <c r="F177" s="22"/>
      <c r="G177" s="22"/>
      <c r="H177" s="22"/>
      <c r="I177" s="22"/>
      <c r="J177" s="22"/>
    </row>
    <row r="178" ht="18" customHeight="1" spans="2:10" x14ac:dyDescent="0.25">
      <c r="B178" s="23" t="s">
        <v>22</v>
      </c>
      <c r="C178" s="23" t="s">
        <v>19</v>
      </c>
      <c r="D178" s="24" t="s">
        <v>4</v>
      </c>
      <c r="E178" s="24" t="s">
        <v>23</v>
      </c>
      <c r="F178" s="25" t="s">
        <v>13</v>
      </c>
      <c r="G178" s="25" t="s">
        <v>24</v>
      </c>
      <c r="H178" s="25" t="s">
        <v>25</v>
      </c>
      <c r="I178" s="25" t="s">
        <v>4</v>
      </c>
      <c r="J178" s="25" t="s">
        <v>14</v>
      </c>
    </row>
    <row r="179" spans="1:11" x14ac:dyDescent="0.25">
      <c r="A179" s="26">
        <v>46304</v>
      </c>
      <c r="B179" s="27" t="s">
        <v>26</v>
      </c>
      <c r="C179" s="28"/>
      <c r="D179" s="29"/>
      <c r="E179" s="29"/>
      <c r="F179" s="30">
        <f>IF($C179="","",IF($E179="",30,$E179)/60)</f>
      </c>
      <c r="G179" s="30">
        <f>IF($C179="","",(30-IF($E179="",30,$E179))/60)</f>
      </c>
      <c r="H179" s="30">
        <f>IF($C179="",0,IF(IFERROR(VLOOKUP($C179,Setup!$A$2:$B$60,2,FALSE),"N")="Y",$F179,0))</f>
      </c>
      <c r="I179" s="31">
        <f>IF($C179="",0,IF(IFERROR(VLOOKUP($C179,Setup!$A$2:$B$60,2,FALSE),"N")="Y",N($D179),0))</f>
      </c>
      <c r="J179" s="30">
        <f>IF($H179&gt;0,$I179/$H179,"")</f>
      </c>
      <c r="K179" s="32">
        <f>IF($F197&gt;0,9,0)</f>
      </c>
    </row>
    <row r="180" spans="1:10" x14ac:dyDescent="0.25">
      <c r="A180" s="33">
        <v>46304</v>
      </c>
      <c r="B180" s="34" t="s">
        <v>27</v>
      </c>
      <c r="C180" s="35"/>
      <c r="D180" s="36"/>
      <c r="E180" s="36"/>
      <c r="F180" s="37">
        <f>IF($C180="","",IF($E180="",30,$E180)/60)</f>
      </c>
      <c r="G180" s="37">
        <f>IF($C180="","",(30-IF($E180="",30,$E180))/60)</f>
      </c>
      <c r="H180" s="37">
        <f>IF($C180="",0,IF(IFERROR(VLOOKUP($C180,Setup!$A$2:$B$60,2,FALSE),"N")="Y",$F180,0))</f>
      </c>
      <c r="I180" s="38">
        <f>IF($C180="",0,IF(IFERROR(VLOOKUP($C180,Setup!$A$2:$B$60,2,FALSE),"N")="Y",N($D180),0))</f>
      </c>
      <c r="J180" s="37">
        <f>IF($H180&gt;0,$I180/$H180,"")</f>
      </c>
    </row>
    <row r="181" spans="1:10" x14ac:dyDescent="0.25">
      <c r="A181" s="26">
        <v>46304</v>
      </c>
      <c r="B181" s="27" t="s">
        <v>28</v>
      </c>
      <c r="C181" s="28"/>
      <c r="D181" s="29"/>
      <c r="E181" s="29"/>
      <c r="F181" s="30">
        <f>IF($C181="","",IF($E181="",30,$E181)/60)</f>
      </c>
      <c r="G181" s="30">
        <f>IF($C181="","",(30-IF($E181="",30,$E181))/60)</f>
      </c>
      <c r="H181" s="30">
        <f>IF($C181="",0,IF(IFERROR(VLOOKUP($C181,Setup!$A$2:$B$60,2,FALSE),"N")="Y",$F181,0))</f>
      </c>
      <c r="I181" s="31">
        <f>IF($C181="",0,IF(IFERROR(VLOOKUP($C181,Setup!$A$2:$B$60,2,FALSE),"N")="Y",N($D181),0))</f>
      </c>
      <c r="J181" s="30">
        <f>IF($H181&gt;0,$I181/$H181,"")</f>
      </c>
    </row>
    <row r="182" spans="1:10" x14ac:dyDescent="0.25">
      <c r="A182" s="33">
        <v>46304</v>
      </c>
      <c r="B182" s="34" t="s">
        <v>29</v>
      </c>
      <c r="C182" s="35"/>
      <c r="D182" s="36"/>
      <c r="E182" s="36"/>
      <c r="F182" s="37">
        <f>IF($C182="","",IF($E182="",30,$E182)/60)</f>
      </c>
      <c r="G182" s="37">
        <f>IF($C182="","",(30-IF($E182="",30,$E182))/60)</f>
      </c>
      <c r="H182" s="37">
        <f>IF($C182="",0,IF(IFERROR(VLOOKUP($C182,Setup!$A$2:$B$60,2,FALSE),"N")="Y",$F182,0))</f>
      </c>
      <c r="I182" s="38">
        <f>IF($C182="",0,IF(IFERROR(VLOOKUP($C182,Setup!$A$2:$B$60,2,FALSE),"N")="Y",N($D182),0))</f>
      </c>
      <c r="J182" s="37">
        <f>IF($H182&gt;0,$I182/$H182,"")</f>
      </c>
    </row>
    <row r="183" spans="1:10" x14ac:dyDescent="0.25">
      <c r="A183" s="26">
        <v>46304</v>
      </c>
      <c r="B183" s="27" t="s">
        <v>30</v>
      </c>
      <c r="C183" s="28"/>
      <c r="D183" s="29"/>
      <c r="E183" s="29"/>
      <c r="F183" s="30">
        <f>IF($C183="","",IF($E183="",30,$E183)/60)</f>
      </c>
      <c r="G183" s="30">
        <f>IF($C183="","",(30-IF($E183="",30,$E183))/60)</f>
      </c>
      <c r="H183" s="30">
        <f>IF($C183="",0,IF(IFERROR(VLOOKUP($C183,Setup!$A$2:$B$60,2,FALSE),"N")="Y",$F183,0))</f>
      </c>
      <c r="I183" s="31">
        <f>IF($C183="",0,IF(IFERROR(VLOOKUP($C183,Setup!$A$2:$B$60,2,FALSE),"N")="Y",N($D183),0))</f>
      </c>
      <c r="J183" s="30">
        <f>IF($H183&gt;0,$I183/$H183,"")</f>
      </c>
    </row>
    <row r="184" spans="1:10" x14ac:dyDescent="0.25">
      <c r="A184" s="33">
        <v>46304</v>
      </c>
      <c r="B184" s="34" t="s">
        <v>31</v>
      </c>
      <c r="C184" s="35"/>
      <c r="D184" s="36"/>
      <c r="E184" s="36"/>
      <c r="F184" s="37">
        <f>IF($C184="","",IF($E184="",30,$E184)/60)</f>
      </c>
      <c r="G184" s="37">
        <f>IF($C184="","",(30-IF($E184="",30,$E184))/60)</f>
      </c>
      <c r="H184" s="37">
        <f>IF($C184="",0,IF(IFERROR(VLOOKUP($C184,Setup!$A$2:$B$60,2,FALSE),"N")="Y",$F184,0))</f>
      </c>
      <c r="I184" s="38">
        <f>IF($C184="",0,IF(IFERROR(VLOOKUP($C184,Setup!$A$2:$B$60,2,FALSE),"N")="Y",N($D184),0))</f>
      </c>
      <c r="J184" s="37">
        <f>IF($H184&gt;0,$I184/$H184,"")</f>
      </c>
    </row>
    <row r="185" spans="1:10" x14ac:dyDescent="0.25">
      <c r="A185" s="26">
        <v>46304</v>
      </c>
      <c r="B185" s="27" t="s">
        <v>32</v>
      </c>
      <c r="C185" s="28"/>
      <c r="D185" s="29"/>
      <c r="E185" s="29"/>
      <c r="F185" s="30">
        <f>IF($C185="","",IF($E185="",30,$E185)/60)</f>
      </c>
      <c r="G185" s="30">
        <f>IF($C185="","",(30-IF($E185="",30,$E185))/60)</f>
      </c>
      <c r="H185" s="30">
        <f>IF($C185="",0,IF(IFERROR(VLOOKUP($C185,Setup!$A$2:$B$60,2,FALSE),"N")="Y",$F185,0))</f>
      </c>
      <c r="I185" s="31">
        <f>IF($C185="",0,IF(IFERROR(VLOOKUP($C185,Setup!$A$2:$B$60,2,FALSE),"N")="Y",N($D185),0))</f>
      </c>
      <c r="J185" s="30">
        <f>IF($H185&gt;0,$I185/$H185,"")</f>
      </c>
    </row>
    <row r="186" spans="1:10" x14ac:dyDescent="0.25">
      <c r="A186" s="33">
        <v>46304</v>
      </c>
      <c r="B186" s="34" t="s">
        <v>33</v>
      </c>
      <c r="C186" s="35"/>
      <c r="D186" s="36"/>
      <c r="E186" s="36"/>
      <c r="F186" s="37">
        <f>IF($C186="","",IF($E186="",30,$E186)/60)</f>
      </c>
      <c r="G186" s="37">
        <f>IF($C186="","",(30-IF($E186="",30,$E186))/60)</f>
      </c>
      <c r="H186" s="37">
        <f>IF($C186="",0,IF(IFERROR(VLOOKUP($C186,Setup!$A$2:$B$60,2,FALSE),"N")="Y",$F186,0))</f>
      </c>
      <c r="I186" s="38">
        <f>IF($C186="",0,IF(IFERROR(VLOOKUP($C186,Setup!$A$2:$B$60,2,FALSE),"N")="Y",N($D186),0))</f>
      </c>
      <c r="J186" s="37">
        <f>IF($H186&gt;0,$I186/$H186,"")</f>
      </c>
    </row>
    <row r="187" spans="1:10" x14ac:dyDescent="0.25">
      <c r="A187" s="26">
        <v>46304</v>
      </c>
      <c r="B187" s="27" t="s">
        <v>34</v>
      </c>
      <c r="C187" s="28"/>
      <c r="D187" s="29"/>
      <c r="E187" s="29"/>
      <c r="F187" s="30">
        <f>IF($C187="","",IF($E187="",30,$E187)/60)</f>
      </c>
      <c r="G187" s="30">
        <f>IF($C187="","",(30-IF($E187="",30,$E187))/60)</f>
      </c>
      <c r="H187" s="30">
        <f>IF($C187="",0,IF(IFERROR(VLOOKUP($C187,Setup!$A$2:$B$60,2,FALSE),"N")="Y",$F187,0))</f>
      </c>
      <c r="I187" s="31">
        <f>IF($C187="",0,IF(IFERROR(VLOOKUP($C187,Setup!$A$2:$B$60,2,FALSE),"N")="Y",N($D187),0))</f>
      </c>
      <c r="J187" s="30">
        <f>IF($H187&gt;0,$I187/$H187,"")</f>
      </c>
    </row>
    <row r="188" spans="1:10" x14ac:dyDescent="0.25">
      <c r="A188" s="33">
        <v>46304</v>
      </c>
      <c r="B188" s="34" t="s">
        <v>35</v>
      </c>
      <c r="C188" s="35"/>
      <c r="D188" s="36"/>
      <c r="E188" s="36"/>
      <c r="F188" s="37">
        <f>IF($C188="","",IF($E188="",30,$E188)/60)</f>
      </c>
      <c r="G188" s="37">
        <f>IF($C188="","",(30-IF($E188="",30,$E188))/60)</f>
      </c>
      <c r="H188" s="37">
        <f>IF($C188="",0,IF(IFERROR(VLOOKUP($C188,Setup!$A$2:$B$60,2,FALSE),"N")="Y",$F188,0))</f>
      </c>
      <c r="I188" s="38">
        <f>IF($C188="",0,IF(IFERROR(VLOOKUP($C188,Setup!$A$2:$B$60,2,FALSE),"N")="Y",N($D188),0))</f>
      </c>
      <c r="J188" s="37">
        <f>IF($H188&gt;0,$I188/$H188,"")</f>
      </c>
    </row>
    <row r="189" spans="1:10" x14ac:dyDescent="0.25">
      <c r="A189" s="26">
        <v>46304</v>
      </c>
      <c r="B189" s="27" t="s">
        <v>36</v>
      </c>
      <c r="C189" s="28"/>
      <c r="D189" s="29"/>
      <c r="E189" s="29"/>
      <c r="F189" s="30">
        <f>IF($C189="","",IF($E189="",30,$E189)/60)</f>
      </c>
      <c r="G189" s="30">
        <f>IF($C189="","",(30-IF($E189="",30,$E189))/60)</f>
      </c>
      <c r="H189" s="30">
        <f>IF($C189="",0,IF(IFERROR(VLOOKUP($C189,Setup!$A$2:$B$60,2,FALSE),"N")="Y",$F189,0))</f>
      </c>
      <c r="I189" s="31">
        <f>IF($C189="",0,IF(IFERROR(VLOOKUP($C189,Setup!$A$2:$B$60,2,FALSE),"N")="Y",N($D189),0))</f>
      </c>
      <c r="J189" s="30">
        <f>IF($H189&gt;0,$I189/$H189,"")</f>
      </c>
    </row>
    <row r="190" spans="1:10" x14ac:dyDescent="0.25">
      <c r="A190" s="33">
        <v>46304</v>
      </c>
      <c r="B190" s="34" t="s">
        <v>37</v>
      </c>
      <c r="C190" s="35"/>
      <c r="D190" s="36"/>
      <c r="E190" s="36"/>
      <c r="F190" s="37">
        <f>IF($C190="","",IF($E190="",30,$E190)/60)</f>
      </c>
      <c r="G190" s="37">
        <f>IF($C190="","",(30-IF($E190="",30,$E190))/60)</f>
      </c>
      <c r="H190" s="37">
        <f>IF($C190="",0,IF(IFERROR(VLOOKUP($C190,Setup!$A$2:$B$60,2,FALSE),"N")="Y",$F190,0))</f>
      </c>
      <c r="I190" s="38">
        <f>IF($C190="",0,IF(IFERROR(VLOOKUP($C190,Setup!$A$2:$B$60,2,FALSE),"N")="Y",N($D190),0))</f>
      </c>
      <c r="J190" s="37">
        <f>IF($H190&gt;0,$I190/$H190,"")</f>
      </c>
    </row>
    <row r="191" spans="1:10" x14ac:dyDescent="0.25">
      <c r="A191" s="26">
        <v>46304</v>
      </c>
      <c r="B191" s="27" t="s">
        <v>38</v>
      </c>
      <c r="C191" s="28"/>
      <c r="D191" s="29"/>
      <c r="E191" s="29"/>
      <c r="F191" s="30">
        <f>IF($C191="","",IF($E191="",30,$E191)/60)</f>
      </c>
      <c r="G191" s="30">
        <f>IF($C191="","",(30-IF($E191="",30,$E191))/60)</f>
      </c>
      <c r="H191" s="30">
        <f>IF($C191="",0,IF(IFERROR(VLOOKUP($C191,Setup!$A$2:$B$60,2,FALSE),"N")="Y",$F191,0))</f>
      </c>
      <c r="I191" s="31">
        <f>IF($C191="",0,IF(IFERROR(VLOOKUP($C191,Setup!$A$2:$B$60,2,FALSE),"N")="Y",N($D191),0))</f>
      </c>
      <c r="J191" s="30">
        <f>IF($H191&gt;0,$I191/$H191,"")</f>
      </c>
    </row>
    <row r="192" spans="1:10" x14ac:dyDescent="0.25">
      <c r="A192" s="33">
        <v>46304</v>
      </c>
      <c r="B192" s="34" t="s">
        <v>39</v>
      </c>
      <c r="C192" s="35"/>
      <c r="D192" s="36"/>
      <c r="E192" s="36"/>
      <c r="F192" s="37">
        <f>IF($C192="","",IF($E192="",30,$E192)/60)</f>
      </c>
      <c r="G192" s="37">
        <f>IF($C192="","",(30-IF($E192="",30,$E192))/60)</f>
      </c>
      <c r="H192" s="37">
        <f>IF($C192="",0,IF(IFERROR(VLOOKUP($C192,Setup!$A$2:$B$60,2,FALSE),"N")="Y",$F192,0))</f>
      </c>
      <c r="I192" s="38">
        <f>IF($C192="",0,IF(IFERROR(VLOOKUP($C192,Setup!$A$2:$B$60,2,FALSE),"N")="Y",N($D192),0))</f>
      </c>
      <c r="J192" s="37">
        <f>IF($H192&gt;0,$I192/$H192,"")</f>
      </c>
    </row>
    <row r="193" spans="1:10" x14ac:dyDescent="0.25">
      <c r="A193" s="26">
        <v>46304</v>
      </c>
      <c r="B193" s="27" t="s">
        <v>40</v>
      </c>
      <c r="C193" s="28"/>
      <c r="D193" s="29"/>
      <c r="E193" s="29"/>
      <c r="F193" s="30">
        <f>IF($C193="","",IF($E193="",30,$E193)/60)</f>
      </c>
      <c r="G193" s="30">
        <f>IF($C193="","",(30-IF($E193="",30,$E193))/60)</f>
      </c>
      <c r="H193" s="30">
        <f>IF($C193="",0,IF(IFERROR(VLOOKUP($C193,Setup!$A$2:$B$60,2,FALSE),"N")="Y",$F193,0))</f>
      </c>
      <c r="I193" s="31">
        <f>IF($C193="",0,IF(IFERROR(VLOOKUP($C193,Setup!$A$2:$B$60,2,FALSE),"N")="Y",N($D193),0))</f>
      </c>
      <c r="J193" s="30">
        <f>IF($H193&gt;0,$I193/$H193,"")</f>
      </c>
    </row>
    <row r="194" spans="1:10" x14ac:dyDescent="0.25">
      <c r="A194" s="33">
        <v>46304</v>
      </c>
      <c r="B194" s="34" t="s">
        <v>41</v>
      </c>
      <c r="C194" s="35"/>
      <c r="D194" s="36"/>
      <c r="E194" s="36"/>
      <c r="F194" s="37">
        <f>IF($C194="","",IF($E194="",30,$E194)/60)</f>
      </c>
      <c r="G194" s="37">
        <f>IF($C194="","",(30-IF($E194="",30,$E194))/60)</f>
      </c>
      <c r="H194" s="37">
        <f>IF($C194="",0,IF(IFERROR(VLOOKUP($C194,Setup!$A$2:$B$60,2,FALSE),"N")="Y",$F194,0))</f>
      </c>
      <c r="I194" s="38">
        <f>IF($C194="",0,IF(IFERROR(VLOOKUP($C194,Setup!$A$2:$B$60,2,FALSE),"N")="Y",N($D194),0))</f>
      </c>
      <c r="J194" s="37">
        <f>IF($H194&gt;0,$I194/$H194,"")</f>
      </c>
    </row>
    <row r="195" spans="1:10" x14ac:dyDescent="0.25">
      <c r="A195" s="26">
        <v>46304</v>
      </c>
      <c r="B195" s="27" t="s">
        <v>42</v>
      </c>
      <c r="C195" s="28"/>
      <c r="D195" s="29"/>
      <c r="E195" s="29"/>
      <c r="F195" s="30">
        <f>IF($C195="","",IF($E195="",30,$E195)/60)</f>
      </c>
      <c r="G195" s="30">
        <f>IF($C195="","",(30-IF($E195="",30,$E195))/60)</f>
      </c>
      <c r="H195" s="30">
        <f>IF($C195="",0,IF(IFERROR(VLOOKUP($C195,Setup!$A$2:$B$60,2,FALSE),"N")="Y",$F195,0))</f>
      </c>
      <c r="I195" s="31">
        <f>IF($C195="",0,IF(IFERROR(VLOOKUP($C195,Setup!$A$2:$B$60,2,FALSE),"N")="Y",N($D195),0))</f>
      </c>
      <c r="J195" s="30">
        <f>IF($H195&gt;0,$I195/$H195,"")</f>
      </c>
    </row>
    <row r="196" spans="1:10" x14ac:dyDescent="0.25">
      <c r="A196" s="33">
        <v>46304</v>
      </c>
      <c r="B196" s="34" t="s">
        <v>43</v>
      </c>
      <c r="C196" s="35"/>
      <c r="D196" s="36"/>
      <c r="E196" s="36"/>
      <c r="F196" s="37">
        <f>IF($C196="","",IF($E196="",30,$E196)/60)</f>
      </c>
      <c r="G196" s="37">
        <f>IF($C196="","",(30-IF($E196="",30,$E196))/60)</f>
      </c>
      <c r="H196" s="37">
        <f>IF($C196="",0,IF(IFERROR(VLOOKUP($C196,Setup!$A$2:$B$60,2,FALSE),"N")="Y",$F196,0))</f>
      </c>
      <c r="I196" s="38">
        <f>IF($C196="",0,IF(IFERROR(VLOOKUP($C196,Setup!$A$2:$B$60,2,FALSE),"N")="Y",N($D196),0))</f>
      </c>
      <c r="J196" s="37">
        <f>IF($H196&gt;0,$I196/$H196,"")</f>
      </c>
    </row>
    <row r="197" spans="2:10" x14ac:dyDescent="0.25">
      <c r="B197" s="39" t="s">
        <v>44</v>
      </c>
      <c r="C197" s="40"/>
      <c r="D197" s="41">
        <f>SUM(I179:I196)</f>
      </c>
      <c r="E197" s="40"/>
      <c r="F197" s="42">
        <f>SUM(F179:F196)</f>
      </c>
      <c r="G197" s="42">
        <f>SUM(G179:G196)</f>
      </c>
      <c r="H197" s="42">
        <f>SUM(H179:H196)</f>
      </c>
      <c r="I197" s="40"/>
      <c r="J197" s="42">
        <f>IF(H197&gt;0,D197/H197,"")</f>
      </c>
    </row>
    <row r="199" ht="26" customHeight="1" spans="2:10" x14ac:dyDescent="0.25">
      <c r="B199" s="21">
        <v>46305</v>
      </c>
      <c r="C199" s="21"/>
      <c r="D199" s="21"/>
      <c r="E199" s="22" t="s">
        <v>21</v>
      </c>
      <c r="F199" s="22"/>
      <c r="G199" s="22"/>
      <c r="H199" s="22"/>
      <c r="I199" s="22"/>
      <c r="J199" s="22"/>
    </row>
    <row r="200" ht="18" customHeight="1" spans="2:10" x14ac:dyDescent="0.25">
      <c r="B200" s="23" t="s">
        <v>22</v>
      </c>
      <c r="C200" s="23" t="s">
        <v>19</v>
      </c>
      <c r="D200" s="24" t="s">
        <v>4</v>
      </c>
      <c r="E200" s="24" t="s">
        <v>23</v>
      </c>
      <c r="F200" s="25" t="s">
        <v>13</v>
      </c>
      <c r="G200" s="25" t="s">
        <v>24</v>
      </c>
      <c r="H200" s="25" t="s">
        <v>25</v>
      </c>
      <c r="I200" s="25" t="s">
        <v>4</v>
      </c>
      <c r="J200" s="25" t="s">
        <v>14</v>
      </c>
    </row>
    <row r="201" spans="1:11" x14ac:dyDescent="0.25">
      <c r="A201" s="26">
        <v>46305</v>
      </c>
      <c r="B201" s="27" t="s">
        <v>26</v>
      </c>
      <c r="C201" s="28"/>
      <c r="D201" s="29"/>
      <c r="E201" s="29"/>
      <c r="F201" s="30">
        <f>IF($C201="","",IF($E201="",30,$E201)/60)</f>
      </c>
      <c r="G201" s="30">
        <f>IF($C201="","",(30-IF($E201="",30,$E201))/60)</f>
      </c>
      <c r="H201" s="30">
        <f>IF($C201="",0,IF(IFERROR(VLOOKUP($C201,Setup!$A$2:$B$60,2,FALSE),"N")="Y",$F201,0))</f>
      </c>
      <c r="I201" s="31">
        <f>IF($C201="",0,IF(IFERROR(VLOOKUP($C201,Setup!$A$2:$B$60,2,FALSE),"N")="Y",N($D201),0))</f>
      </c>
      <c r="J201" s="30">
        <f>IF($H201&gt;0,$I201/$H201,"")</f>
      </c>
      <c r="K201" s="32">
        <f>IF($F219&gt;0,9,0)</f>
      </c>
    </row>
    <row r="202" spans="1:10" x14ac:dyDescent="0.25">
      <c r="A202" s="33">
        <v>46305</v>
      </c>
      <c r="B202" s="34" t="s">
        <v>27</v>
      </c>
      <c r="C202" s="35"/>
      <c r="D202" s="36"/>
      <c r="E202" s="36"/>
      <c r="F202" s="37">
        <f>IF($C202="","",IF($E202="",30,$E202)/60)</f>
      </c>
      <c r="G202" s="37">
        <f>IF($C202="","",(30-IF($E202="",30,$E202))/60)</f>
      </c>
      <c r="H202" s="37">
        <f>IF($C202="",0,IF(IFERROR(VLOOKUP($C202,Setup!$A$2:$B$60,2,FALSE),"N")="Y",$F202,0))</f>
      </c>
      <c r="I202" s="38">
        <f>IF($C202="",0,IF(IFERROR(VLOOKUP($C202,Setup!$A$2:$B$60,2,FALSE),"N")="Y",N($D202),0))</f>
      </c>
      <c r="J202" s="37">
        <f>IF($H202&gt;0,$I202/$H202,"")</f>
      </c>
    </row>
    <row r="203" spans="1:10" x14ac:dyDescent="0.25">
      <c r="A203" s="26">
        <v>46305</v>
      </c>
      <c r="B203" s="27" t="s">
        <v>28</v>
      </c>
      <c r="C203" s="28"/>
      <c r="D203" s="29"/>
      <c r="E203" s="29"/>
      <c r="F203" s="30">
        <f>IF($C203="","",IF($E203="",30,$E203)/60)</f>
      </c>
      <c r="G203" s="30">
        <f>IF($C203="","",(30-IF($E203="",30,$E203))/60)</f>
      </c>
      <c r="H203" s="30">
        <f>IF($C203="",0,IF(IFERROR(VLOOKUP($C203,Setup!$A$2:$B$60,2,FALSE),"N")="Y",$F203,0))</f>
      </c>
      <c r="I203" s="31">
        <f>IF($C203="",0,IF(IFERROR(VLOOKUP($C203,Setup!$A$2:$B$60,2,FALSE),"N")="Y",N($D203),0))</f>
      </c>
      <c r="J203" s="30">
        <f>IF($H203&gt;0,$I203/$H203,"")</f>
      </c>
    </row>
    <row r="204" spans="1:10" x14ac:dyDescent="0.25">
      <c r="A204" s="33">
        <v>46305</v>
      </c>
      <c r="B204" s="34" t="s">
        <v>29</v>
      </c>
      <c r="C204" s="35"/>
      <c r="D204" s="36"/>
      <c r="E204" s="36"/>
      <c r="F204" s="37">
        <f>IF($C204="","",IF($E204="",30,$E204)/60)</f>
      </c>
      <c r="G204" s="37">
        <f>IF($C204="","",(30-IF($E204="",30,$E204))/60)</f>
      </c>
      <c r="H204" s="37">
        <f>IF($C204="",0,IF(IFERROR(VLOOKUP($C204,Setup!$A$2:$B$60,2,FALSE),"N")="Y",$F204,0))</f>
      </c>
      <c r="I204" s="38">
        <f>IF($C204="",0,IF(IFERROR(VLOOKUP($C204,Setup!$A$2:$B$60,2,FALSE),"N")="Y",N($D204),0))</f>
      </c>
      <c r="J204" s="37">
        <f>IF($H204&gt;0,$I204/$H204,"")</f>
      </c>
    </row>
    <row r="205" spans="1:10" x14ac:dyDescent="0.25">
      <c r="A205" s="26">
        <v>46305</v>
      </c>
      <c r="B205" s="27" t="s">
        <v>30</v>
      </c>
      <c r="C205" s="28"/>
      <c r="D205" s="29"/>
      <c r="E205" s="29"/>
      <c r="F205" s="30">
        <f>IF($C205="","",IF($E205="",30,$E205)/60)</f>
      </c>
      <c r="G205" s="30">
        <f>IF($C205="","",(30-IF($E205="",30,$E205))/60)</f>
      </c>
      <c r="H205" s="30">
        <f>IF($C205="",0,IF(IFERROR(VLOOKUP($C205,Setup!$A$2:$B$60,2,FALSE),"N")="Y",$F205,0))</f>
      </c>
      <c r="I205" s="31">
        <f>IF($C205="",0,IF(IFERROR(VLOOKUP($C205,Setup!$A$2:$B$60,2,FALSE),"N")="Y",N($D205),0))</f>
      </c>
      <c r="J205" s="30">
        <f>IF($H205&gt;0,$I205/$H205,"")</f>
      </c>
    </row>
    <row r="206" spans="1:10" x14ac:dyDescent="0.25">
      <c r="A206" s="33">
        <v>46305</v>
      </c>
      <c r="B206" s="34" t="s">
        <v>31</v>
      </c>
      <c r="C206" s="35"/>
      <c r="D206" s="36"/>
      <c r="E206" s="36"/>
      <c r="F206" s="37">
        <f>IF($C206="","",IF($E206="",30,$E206)/60)</f>
      </c>
      <c r="G206" s="37">
        <f>IF($C206="","",(30-IF($E206="",30,$E206))/60)</f>
      </c>
      <c r="H206" s="37">
        <f>IF($C206="",0,IF(IFERROR(VLOOKUP($C206,Setup!$A$2:$B$60,2,FALSE),"N")="Y",$F206,0))</f>
      </c>
      <c r="I206" s="38">
        <f>IF($C206="",0,IF(IFERROR(VLOOKUP($C206,Setup!$A$2:$B$60,2,FALSE),"N")="Y",N($D206),0))</f>
      </c>
      <c r="J206" s="37">
        <f>IF($H206&gt;0,$I206/$H206,"")</f>
      </c>
    </row>
    <row r="207" spans="1:10" x14ac:dyDescent="0.25">
      <c r="A207" s="26">
        <v>46305</v>
      </c>
      <c r="B207" s="27" t="s">
        <v>32</v>
      </c>
      <c r="C207" s="28"/>
      <c r="D207" s="29"/>
      <c r="E207" s="29"/>
      <c r="F207" s="30">
        <f>IF($C207="","",IF($E207="",30,$E207)/60)</f>
      </c>
      <c r="G207" s="30">
        <f>IF($C207="","",(30-IF($E207="",30,$E207))/60)</f>
      </c>
      <c r="H207" s="30">
        <f>IF($C207="",0,IF(IFERROR(VLOOKUP($C207,Setup!$A$2:$B$60,2,FALSE),"N")="Y",$F207,0))</f>
      </c>
      <c r="I207" s="31">
        <f>IF($C207="",0,IF(IFERROR(VLOOKUP($C207,Setup!$A$2:$B$60,2,FALSE),"N")="Y",N($D207),0))</f>
      </c>
      <c r="J207" s="30">
        <f>IF($H207&gt;0,$I207/$H207,"")</f>
      </c>
    </row>
    <row r="208" spans="1:10" x14ac:dyDescent="0.25">
      <c r="A208" s="33">
        <v>46305</v>
      </c>
      <c r="B208" s="34" t="s">
        <v>33</v>
      </c>
      <c r="C208" s="35"/>
      <c r="D208" s="36"/>
      <c r="E208" s="36"/>
      <c r="F208" s="37">
        <f>IF($C208="","",IF($E208="",30,$E208)/60)</f>
      </c>
      <c r="G208" s="37">
        <f>IF($C208="","",(30-IF($E208="",30,$E208))/60)</f>
      </c>
      <c r="H208" s="37">
        <f>IF($C208="",0,IF(IFERROR(VLOOKUP($C208,Setup!$A$2:$B$60,2,FALSE),"N")="Y",$F208,0))</f>
      </c>
      <c r="I208" s="38">
        <f>IF($C208="",0,IF(IFERROR(VLOOKUP($C208,Setup!$A$2:$B$60,2,FALSE),"N")="Y",N($D208),0))</f>
      </c>
      <c r="J208" s="37">
        <f>IF($H208&gt;0,$I208/$H208,"")</f>
      </c>
    </row>
    <row r="209" spans="1:10" x14ac:dyDescent="0.25">
      <c r="A209" s="26">
        <v>46305</v>
      </c>
      <c r="B209" s="27" t="s">
        <v>34</v>
      </c>
      <c r="C209" s="28"/>
      <c r="D209" s="29"/>
      <c r="E209" s="29"/>
      <c r="F209" s="30">
        <f>IF($C209="","",IF($E209="",30,$E209)/60)</f>
      </c>
      <c r="G209" s="30">
        <f>IF($C209="","",(30-IF($E209="",30,$E209))/60)</f>
      </c>
      <c r="H209" s="30">
        <f>IF($C209="",0,IF(IFERROR(VLOOKUP($C209,Setup!$A$2:$B$60,2,FALSE),"N")="Y",$F209,0))</f>
      </c>
      <c r="I209" s="31">
        <f>IF($C209="",0,IF(IFERROR(VLOOKUP($C209,Setup!$A$2:$B$60,2,FALSE),"N")="Y",N($D209),0))</f>
      </c>
      <c r="J209" s="30">
        <f>IF($H209&gt;0,$I209/$H209,"")</f>
      </c>
    </row>
    <row r="210" spans="1:10" x14ac:dyDescent="0.25">
      <c r="A210" s="33">
        <v>46305</v>
      </c>
      <c r="B210" s="34" t="s">
        <v>35</v>
      </c>
      <c r="C210" s="35"/>
      <c r="D210" s="36"/>
      <c r="E210" s="36"/>
      <c r="F210" s="37">
        <f>IF($C210="","",IF($E210="",30,$E210)/60)</f>
      </c>
      <c r="G210" s="37">
        <f>IF($C210="","",(30-IF($E210="",30,$E210))/60)</f>
      </c>
      <c r="H210" s="37">
        <f>IF($C210="",0,IF(IFERROR(VLOOKUP($C210,Setup!$A$2:$B$60,2,FALSE),"N")="Y",$F210,0))</f>
      </c>
      <c r="I210" s="38">
        <f>IF($C210="",0,IF(IFERROR(VLOOKUP($C210,Setup!$A$2:$B$60,2,FALSE),"N")="Y",N($D210),0))</f>
      </c>
      <c r="J210" s="37">
        <f>IF($H210&gt;0,$I210/$H210,"")</f>
      </c>
    </row>
    <row r="211" spans="1:10" x14ac:dyDescent="0.25">
      <c r="A211" s="26">
        <v>46305</v>
      </c>
      <c r="B211" s="27" t="s">
        <v>36</v>
      </c>
      <c r="C211" s="28"/>
      <c r="D211" s="29"/>
      <c r="E211" s="29"/>
      <c r="F211" s="30">
        <f>IF($C211="","",IF($E211="",30,$E211)/60)</f>
      </c>
      <c r="G211" s="30">
        <f>IF($C211="","",(30-IF($E211="",30,$E211))/60)</f>
      </c>
      <c r="H211" s="30">
        <f>IF($C211="",0,IF(IFERROR(VLOOKUP($C211,Setup!$A$2:$B$60,2,FALSE),"N")="Y",$F211,0))</f>
      </c>
      <c r="I211" s="31">
        <f>IF($C211="",0,IF(IFERROR(VLOOKUP($C211,Setup!$A$2:$B$60,2,FALSE),"N")="Y",N($D211),0))</f>
      </c>
      <c r="J211" s="30">
        <f>IF($H211&gt;0,$I211/$H211,"")</f>
      </c>
    </row>
    <row r="212" spans="1:10" x14ac:dyDescent="0.25">
      <c r="A212" s="33">
        <v>46305</v>
      </c>
      <c r="B212" s="34" t="s">
        <v>37</v>
      </c>
      <c r="C212" s="35"/>
      <c r="D212" s="36"/>
      <c r="E212" s="36"/>
      <c r="F212" s="37">
        <f>IF($C212="","",IF($E212="",30,$E212)/60)</f>
      </c>
      <c r="G212" s="37">
        <f>IF($C212="","",(30-IF($E212="",30,$E212))/60)</f>
      </c>
      <c r="H212" s="37">
        <f>IF($C212="",0,IF(IFERROR(VLOOKUP($C212,Setup!$A$2:$B$60,2,FALSE),"N")="Y",$F212,0))</f>
      </c>
      <c r="I212" s="38">
        <f>IF($C212="",0,IF(IFERROR(VLOOKUP($C212,Setup!$A$2:$B$60,2,FALSE),"N")="Y",N($D212),0))</f>
      </c>
      <c r="J212" s="37">
        <f>IF($H212&gt;0,$I212/$H212,"")</f>
      </c>
    </row>
    <row r="213" spans="1:10" x14ac:dyDescent="0.25">
      <c r="A213" s="26">
        <v>46305</v>
      </c>
      <c r="B213" s="27" t="s">
        <v>38</v>
      </c>
      <c r="C213" s="28"/>
      <c r="D213" s="29"/>
      <c r="E213" s="29"/>
      <c r="F213" s="30">
        <f>IF($C213="","",IF($E213="",30,$E213)/60)</f>
      </c>
      <c r="G213" s="30">
        <f>IF($C213="","",(30-IF($E213="",30,$E213))/60)</f>
      </c>
      <c r="H213" s="30">
        <f>IF($C213="",0,IF(IFERROR(VLOOKUP($C213,Setup!$A$2:$B$60,2,FALSE),"N")="Y",$F213,0))</f>
      </c>
      <c r="I213" s="31">
        <f>IF($C213="",0,IF(IFERROR(VLOOKUP($C213,Setup!$A$2:$B$60,2,FALSE),"N")="Y",N($D213),0))</f>
      </c>
      <c r="J213" s="30">
        <f>IF($H213&gt;0,$I213/$H213,"")</f>
      </c>
    </row>
    <row r="214" spans="1:10" x14ac:dyDescent="0.25">
      <c r="A214" s="33">
        <v>46305</v>
      </c>
      <c r="B214" s="34" t="s">
        <v>39</v>
      </c>
      <c r="C214" s="35"/>
      <c r="D214" s="36"/>
      <c r="E214" s="36"/>
      <c r="F214" s="37">
        <f>IF($C214="","",IF($E214="",30,$E214)/60)</f>
      </c>
      <c r="G214" s="37">
        <f>IF($C214="","",(30-IF($E214="",30,$E214))/60)</f>
      </c>
      <c r="H214" s="37">
        <f>IF($C214="",0,IF(IFERROR(VLOOKUP($C214,Setup!$A$2:$B$60,2,FALSE),"N")="Y",$F214,0))</f>
      </c>
      <c r="I214" s="38">
        <f>IF($C214="",0,IF(IFERROR(VLOOKUP($C214,Setup!$A$2:$B$60,2,FALSE),"N")="Y",N($D214),0))</f>
      </c>
      <c r="J214" s="37">
        <f>IF($H214&gt;0,$I214/$H214,"")</f>
      </c>
    </row>
    <row r="215" spans="1:10" x14ac:dyDescent="0.25">
      <c r="A215" s="26">
        <v>46305</v>
      </c>
      <c r="B215" s="27" t="s">
        <v>40</v>
      </c>
      <c r="C215" s="28"/>
      <c r="D215" s="29"/>
      <c r="E215" s="29"/>
      <c r="F215" s="30">
        <f>IF($C215="","",IF($E215="",30,$E215)/60)</f>
      </c>
      <c r="G215" s="30">
        <f>IF($C215="","",(30-IF($E215="",30,$E215))/60)</f>
      </c>
      <c r="H215" s="30">
        <f>IF($C215="",0,IF(IFERROR(VLOOKUP($C215,Setup!$A$2:$B$60,2,FALSE),"N")="Y",$F215,0))</f>
      </c>
      <c r="I215" s="31">
        <f>IF($C215="",0,IF(IFERROR(VLOOKUP($C215,Setup!$A$2:$B$60,2,FALSE),"N")="Y",N($D215),0))</f>
      </c>
      <c r="J215" s="30">
        <f>IF($H215&gt;0,$I215/$H215,"")</f>
      </c>
    </row>
    <row r="216" spans="1:10" x14ac:dyDescent="0.25">
      <c r="A216" s="33">
        <v>46305</v>
      </c>
      <c r="B216" s="34" t="s">
        <v>41</v>
      </c>
      <c r="C216" s="35"/>
      <c r="D216" s="36"/>
      <c r="E216" s="36"/>
      <c r="F216" s="37">
        <f>IF($C216="","",IF($E216="",30,$E216)/60)</f>
      </c>
      <c r="G216" s="37">
        <f>IF($C216="","",(30-IF($E216="",30,$E216))/60)</f>
      </c>
      <c r="H216" s="37">
        <f>IF($C216="",0,IF(IFERROR(VLOOKUP($C216,Setup!$A$2:$B$60,2,FALSE),"N")="Y",$F216,0))</f>
      </c>
      <c r="I216" s="38">
        <f>IF($C216="",0,IF(IFERROR(VLOOKUP($C216,Setup!$A$2:$B$60,2,FALSE),"N")="Y",N($D216),0))</f>
      </c>
      <c r="J216" s="37">
        <f>IF($H216&gt;0,$I216/$H216,"")</f>
      </c>
    </row>
    <row r="217" spans="1:10" x14ac:dyDescent="0.25">
      <c r="A217" s="26">
        <v>46305</v>
      </c>
      <c r="B217" s="27" t="s">
        <v>42</v>
      </c>
      <c r="C217" s="28"/>
      <c r="D217" s="29"/>
      <c r="E217" s="29"/>
      <c r="F217" s="30">
        <f>IF($C217="","",IF($E217="",30,$E217)/60)</f>
      </c>
      <c r="G217" s="30">
        <f>IF($C217="","",(30-IF($E217="",30,$E217))/60)</f>
      </c>
      <c r="H217" s="30">
        <f>IF($C217="",0,IF(IFERROR(VLOOKUP($C217,Setup!$A$2:$B$60,2,FALSE),"N")="Y",$F217,0))</f>
      </c>
      <c r="I217" s="31">
        <f>IF($C217="",0,IF(IFERROR(VLOOKUP($C217,Setup!$A$2:$B$60,2,FALSE),"N")="Y",N($D217),0))</f>
      </c>
      <c r="J217" s="30">
        <f>IF($H217&gt;0,$I217/$H217,"")</f>
      </c>
    </row>
    <row r="218" spans="1:10" x14ac:dyDescent="0.25">
      <c r="A218" s="33">
        <v>46305</v>
      </c>
      <c r="B218" s="34" t="s">
        <v>43</v>
      </c>
      <c r="C218" s="35"/>
      <c r="D218" s="36"/>
      <c r="E218" s="36"/>
      <c r="F218" s="37">
        <f>IF($C218="","",IF($E218="",30,$E218)/60)</f>
      </c>
      <c r="G218" s="37">
        <f>IF($C218="","",(30-IF($E218="",30,$E218))/60)</f>
      </c>
      <c r="H218" s="37">
        <f>IF($C218="",0,IF(IFERROR(VLOOKUP($C218,Setup!$A$2:$B$60,2,FALSE),"N")="Y",$F218,0))</f>
      </c>
      <c r="I218" s="38">
        <f>IF($C218="",0,IF(IFERROR(VLOOKUP($C218,Setup!$A$2:$B$60,2,FALSE),"N")="Y",N($D218),0))</f>
      </c>
      <c r="J218" s="37">
        <f>IF($H218&gt;0,$I218/$H218,"")</f>
      </c>
    </row>
    <row r="219" spans="2:10" x14ac:dyDescent="0.25">
      <c r="B219" s="39" t="s">
        <v>44</v>
      </c>
      <c r="C219" s="40"/>
      <c r="D219" s="41">
        <f>SUM(I201:I218)</f>
      </c>
      <c r="E219" s="40"/>
      <c r="F219" s="42">
        <f>SUM(F201:F218)</f>
      </c>
      <c r="G219" s="42">
        <f>SUM(G201:G218)</f>
      </c>
      <c r="H219" s="42">
        <f>SUM(H201:H218)</f>
      </c>
      <c r="I219" s="40"/>
      <c r="J219" s="42">
        <f>IF(H219&gt;0,D219/H219,"")</f>
      </c>
    </row>
    <row r="221" ht="26" customHeight="1" spans="2:10" x14ac:dyDescent="0.25">
      <c r="B221" s="21">
        <v>46306</v>
      </c>
      <c r="C221" s="21"/>
      <c r="D221" s="21"/>
      <c r="E221" s="22" t="s">
        <v>21</v>
      </c>
      <c r="F221" s="22"/>
      <c r="G221" s="22"/>
      <c r="H221" s="22"/>
      <c r="I221" s="22"/>
      <c r="J221" s="22"/>
    </row>
    <row r="222" ht="18" customHeight="1" spans="2:10" x14ac:dyDescent="0.25">
      <c r="B222" s="23" t="s">
        <v>22</v>
      </c>
      <c r="C222" s="23" t="s">
        <v>19</v>
      </c>
      <c r="D222" s="24" t="s">
        <v>4</v>
      </c>
      <c r="E222" s="24" t="s">
        <v>23</v>
      </c>
      <c r="F222" s="25" t="s">
        <v>13</v>
      </c>
      <c r="G222" s="25" t="s">
        <v>24</v>
      </c>
      <c r="H222" s="25" t="s">
        <v>25</v>
      </c>
      <c r="I222" s="25" t="s">
        <v>4</v>
      </c>
      <c r="J222" s="25" t="s">
        <v>14</v>
      </c>
    </row>
    <row r="223" spans="1:11" x14ac:dyDescent="0.25">
      <c r="A223" s="26">
        <v>46306</v>
      </c>
      <c r="B223" s="27" t="s">
        <v>26</v>
      </c>
      <c r="C223" s="28"/>
      <c r="D223" s="29"/>
      <c r="E223" s="29"/>
      <c r="F223" s="30">
        <f>IF($C223="","",IF($E223="",30,$E223)/60)</f>
      </c>
      <c r="G223" s="30">
        <f>IF($C223="","",(30-IF($E223="",30,$E223))/60)</f>
      </c>
      <c r="H223" s="30">
        <f>IF($C223="",0,IF(IFERROR(VLOOKUP($C223,Setup!$A$2:$B$60,2,FALSE),"N")="Y",$F223,0))</f>
      </c>
      <c r="I223" s="31">
        <f>IF($C223="",0,IF(IFERROR(VLOOKUP($C223,Setup!$A$2:$B$60,2,FALSE),"N")="Y",N($D223),0))</f>
      </c>
      <c r="J223" s="30">
        <f>IF($H223&gt;0,$I223/$H223,"")</f>
      </c>
      <c r="K223" s="32">
        <f>IF($F241&gt;0,9,0)</f>
      </c>
    </row>
    <row r="224" spans="1:10" x14ac:dyDescent="0.25">
      <c r="A224" s="33">
        <v>46306</v>
      </c>
      <c r="B224" s="34" t="s">
        <v>27</v>
      </c>
      <c r="C224" s="35"/>
      <c r="D224" s="36"/>
      <c r="E224" s="36"/>
      <c r="F224" s="37">
        <f>IF($C224="","",IF($E224="",30,$E224)/60)</f>
      </c>
      <c r="G224" s="37">
        <f>IF($C224="","",(30-IF($E224="",30,$E224))/60)</f>
      </c>
      <c r="H224" s="37">
        <f>IF($C224="",0,IF(IFERROR(VLOOKUP($C224,Setup!$A$2:$B$60,2,FALSE),"N")="Y",$F224,0))</f>
      </c>
      <c r="I224" s="38">
        <f>IF($C224="",0,IF(IFERROR(VLOOKUP($C224,Setup!$A$2:$B$60,2,FALSE),"N")="Y",N($D224),0))</f>
      </c>
      <c r="J224" s="37">
        <f>IF($H224&gt;0,$I224/$H224,"")</f>
      </c>
    </row>
    <row r="225" spans="1:10" x14ac:dyDescent="0.25">
      <c r="A225" s="26">
        <v>46306</v>
      </c>
      <c r="B225" s="27" t="s">
        <v>28</v>
      </c>
      <c r="C225" s="28"/>
      <c r="D225" s="29"/>
      <c r="E225" s="29"/>
      <c r="F225" s="30">
        <f>IF($C225="","",IF($E225="",30,$E225)/60)</f>
      </c>
      <c r="G225" s="30">
        <f>IF($C225="","",(30-IF($E225="",30,$E225))/60)</f>
      </c>
      <c r="H225" s="30">
        <f>IF($C225="",0,IF(IFERROR(VLOOKUP($C225,Setup!$A$2:$B$60,2,FALSE),"N")="Y",$F225,0))</f>
      </c>
      <c r="I225" s="31">
        <f>IF($C225="",0,IF(IFERROR(VLOOKUP($C225,Setup!$A$2:$B$60,2,FALSE),"N")="Y",N($D225),0))</f>
      </c>
      <c r="J225" s="30">
        <f>IF($H225&gt;0,$I225/$H225,"")</f>
      </c>
    </row>
    <row r="226" spans="1:10" x14ac:dyDescent="0.25">
      <c r="A226" s="33">
        <v>46306</v>
      </c>
      <c r="B226" s="34" t="s">
        <v>29</v>
      </c>
      <c r="C226" s="35"/>
      <c r="D226" s="36"/>
      <c r="E226" s="36"/>
      <c r="F226" s="37">
        <f>IF($C226="","",IF($E226="",30,$E226)/60)</f>
      </c>
      <c r="G226" s="37">
        <f>IF($C226="","",(30-IF($E226="",30,$E226))/60)</f>
      </c>
      <c r="H226" s="37">
        <f>IF($C226="",0,IF(IFERROR(VLOOKUP($C226,Setup!$A$2:$B$60,2,FALSE),"N")="Y",$F226,0))</f>
      </c>
      <c r="I226" s="38">
        <f>IF($C226="",0,IF(IFERROR(VLOOKUP($C226,Setup!$A$2:$B$60,2,FALSE),"N")="Y",N($D226),0))</f>
      </c>
      <c r="J226" s="37">
        <f>IF($H226&gt;0,$I226/$H226,"")</f>
      </c>
    </row>
    <row r="227" spans="1:10" x14ac:dyDescent="0.25">
      <c r="A227" s="26">
        <v>46306</v>
      </c>
      <c r="B227" s="27" t="s">
        <v>30</v>
      </c>
      <c r="C227" s="28"/>
      <c r="D227" s="29"/>
      <c r="E227" s="29"/>
      <c r="F227" s="30">
        <f>IF($C227="","",IF($E227="",30,$E227)/60)</f>
      </c>
      <c r="G227" s="30">
        <f>IF($C227="","",(30-IF($E227="",30,$E227))/60)</f>
      </c>
      <c r="H227" s="30">
        <f>IF($C227="",0,IF(IFERROR(VLOOKUP($C227,Setup!$A$2:$B$60,2,FALSE),"N")="Y",$F227,0))</f>
      </c>
      <c r="I227" s="31">
        <f>IF($C227="",0,IF(IFERROR(VLOOKUP($C227,Setup!$A$2:$B$60,2,FALSE),"N")="Y",N($D227),0))</f>
      </c>
      <c r="J227" s="30">
        <f>IF($H227&gt;0,$I227/$H227,"")</f>
      </c>
    </row>
    <row r="228" spans="1:10" x14ac:dyDescent="0.25">
      <c r="A228" s="33">
        <v>46306</v>
      </c>
      <c r="B228" s="34" t="s">
        <v>31</v>
      </c>
      <c r="C228" s="35"/>
      <c r="D228" s="36"/>
      <c r="E228" s="36"/>
      <c r="F228" s="37">
        <f>IF($C228="","",IF($E228="",30,$E228)/60)</f>
      </c>
      <c r="G228" s="37">
        <f>IF($C228="","",(30-IF($E228="",30,$E228))/60)</f>
      </c>
      <c r="H228" s="37">
        <f>IF($C228="",0,IF(IFERROR(VLOOKUP($C228,Setup!$A$2:$B$60,2,FALSE),"N")="Y",$F228,0))</f>
      </c>
      <c r="I228" s="38">
        <f>IF($C228="",0,IF(IFERROR(VLOOKUP($C228,Setup!$A$2:$B$60,2,FALSE),"N")="Y",N($D228),0))</f>
      </c>
      <c r="J228" s="37">
        <f>IF($H228&gt;0,$I228/$H228,"")</f>
      </c>
    </row>
    <row r="229" spans="1:10" x14ac:dyDescent="0.25">
      <c r="A229" s="26">
        <v>46306</v>
      </c>
      <c r="B229" s="27" t="s">
        <v>32</v>
      </c>
      <c r="C229" s="28"/>
      <c r="D229" s="29"/>
      <c r="E229" s="29"/>
      <c r="F229" s="30">
        <f>IF($C229="","",IF($E229="",30,$E229)/60)</f>
      </c>
      <c r="G229" s="30">
        <f>IF($C229="","",(30-IF($E229="",30,$E229))/60)</f>
      </c>
      <c r="H229" s="30">
        <f>IF($C229="",0,IF(IFERROR(VLOOKUP($C229,Setup!$A$2:$B$60,2,FALSE),"N")="Y",$F229,0))</f>
      </c>
      <c r="I229" s="31">
        <f>IF($C229="",0,IF(IFERROR(VLOOKUP($C229,Setup!$A$2:$B$60,2,FALSE),"N")="Y",N($D229),0))</f>
      </c>
      <c r="J229" s="30">
        <f>IF($H229&gt;0,$I229/$H229,"")</f>
      </c>
    </row>
    <row r="230" spans="1:10" x14ac:dyDescent="0.25">
      <c r="A230" s="33">
        <v>46306</v>
      </c>
      <c r="B230" s="34" t="s">
        <v>33</v>
      </c>
      <c r="C230" s="35"/>
      <c r="D230" s="36"/>
      <c r="E230" s="36"/>
      <c r="F230" s="37">
        <f>IF($C230="","",IF($E230="",30,$E230)/60)</f>
      </c>
      <c r="G230" s="37">
        <f>IF($C230="","",(30-IF($E230="",30,$E230))/60)</f>
      </c>
      <c r="H230" s="37">
        <f>IF($C230="",0,IF(IFERROR(VLOOKUP($C230,Setup!$A$2:$B$60,2,FALSE),"N")="Y",$F230,0))</f>
      </c>
      <c r="I230" s="38">
        <f>IF($C230="",0,IF(IFERROR(VLOOKUP($C230,Setup!$A$2:$B$60,2,FALSE),"N")="Y",N($D230),0))</f>
      </c>
      <c r="J230" s="37">
        <f>IF($H230&gt;0,$I230/$H230,"")</f>
      </c>
    </row>
    <row r="231" spans="1:10" x14ac:dyDescent="0.25">
      <c r="A231" s="26">
        <v>46306</v>
      </c>
      <c r="B231" s="27" t="s">
        <v>34</v>
      </c>
      <c r="C231" s="28"/>
      <c r="D231" s="29"/>
      <c r="E231" s="29"/>
      <c r="F231" s="30">
        <f>IF($C231="","",IF($E231="",30,$E231)/60)</f>
      </c>
      <c r="G231" s="30">
        <f>IF($C231="","",(30-IF($E231="",30,$E231))/60)</f>
      </c>
      <c r="H231" s="30">
        <f>IF($C231="",0,IF(IFERROR(VLOOKUP($C231,Setup!$A$2:$B$60,2,FALSE),"N")="Y",$F231,0))</f>
      </c>
      <c r="I231" s="31">
        <f>IF($C231="",0,IF(IFERROR(VLOOKUP($C231,Setup!$A$2:$B$60,2,FALSE),"N")="Y",N($D231),0))</f>
      </c>
      <c r="J231" s="30">
        <f>IF($H231&gt;0,$I231/$H231,"")</f>
      </c>
    </row>
    <row r="232" spans="1:10" x14ac:dyDescent="0.25">
      <c r="A232" s="33">
        <v>46306</v>
      </c>
      <c r="B232" s="34" t="s">
        <v>35</v>
      </c>
      <c r="C232" s="35"/>
      <c r="D232" s="36"/>
      <c r="E232" s="36"/>
      <c r="F232" s="37">
        <f>IF($C232="","",IF($E232="",30,$E232)/60)</f>
      </c>
      <c r="G232" s="37">
        <f>IF($C232="","",(30-IF($E232="",30,$E232))/60)</f>
      </c>
      <c r="H232" s="37">
        <f>IF($C232="",0,IF(IFERROR(VLOOKUP($C232,Setup!$A$2:$B$60,2,FALSE),"N")="Y",$F232,0))</f>
      </c>
      <c r="I232" s="38">
        <f>IF($C232="",0,IF(IFERROR(VLOOKUP($C232,Setup!$A$2:$B$60,2,FALSE),"N")="Y",N($D232),0))</f>
      </c>
      <c r="J232" s="37">
        <f>IF($H232&gt;0,$I232/$H232,"")</f>
      </c>
    </row>
    <row r="233" spans="1:10" x14ac:dyDescent="0.25">
      <c r="A233" s="26">
        <v>46306</v>
      </c>
      <c r="B233" s="27" t="s">
        <v>36</v>
      </c>
      <c r="C233" s="28"/>
      <c r="D233" s="29"/>
      <c r="E233" s="29"/>
      <c r="F233" s="30">
        <f>IF($C233="","",IF($E233="",30,$E233)/60)</f>
      </c>
      <c r="G233" s="30">
        <f>IF($C233="","",(30-IF($E233="",30,$E233))/60)</f>
      </c>
      <c r="H233" s="30">
        <f>IF($C233="",0,IF(IFERROR(VLOOKUP($C233,Setup!$A$2:$B$60,2,FALSE),"N")="Y",$F233,0))</f>
      </c>
      <c r="I233" s="31">
        <f>IF($C233="",0,IF(IFERROR(VLOOKUP($C233,Setup!$A$2:$B$60,2,FALSE),"N")="Y",N($D233),0))</f>
      </c>
      <c r="J233" s="30">
        <f>IF($H233&gt;0,$I233/$H233,"")</f>
      </c>
    </row>
    <row r="234" spans="1:10" x14ac:dyDescent="0.25">
      <c r="A234" s="33">
        <v>46306</v>
      </c>
      <c r="B234" s="34" t="s">
        <v>37</v>
      </c>
      <c r="C234" s="35"/>
      <c r="D234" s="36"/>
      <c r="E234" s="36"/>
      <c r="F234" s="37">
        <f>IF($C234="","",IF($E234="",30,$E234)/60)</f>
      </c>
      <c r="G234" s="37">
        <f>IF($C234="","",(30-IF($E234="",30,$E234))/60)</f>
      </c>
      <c r="H234" s="37">
        <f>IF($C234="",0,IF(IFERROR(VLOOKUP($C234,Setup!$A$2:$B$60,2,FALSE),"N")="Y",$F234,0))</f>
      </c>
      <c r="I234" s="38">
        <f>IF($C234="",0,IF(IFERROR(VLOOKUP($C234,Setup!$A$2:$B$60,2,FALSE),"N")="Y",N($D234),0))</f>
      </c>
      <c r="J234" s="37">
        <f>IF($H234&gt;0,$I234/$H234,"")</f>
      </c>
    </row>
    <row r="235" spans="1:10" x14ac:dyDescent="0.25">
      <c r="A235" s="26">
        <v>46306</v>
      </c>
      <c r="B235" s="27" t="s">
        <v>38</v>
      </c>
      <c r="C235" s="28"/>
      <c r="D235" s="29"/>
      <c r="E235" s="29"/>
      <c r="F235" s="30">
        <f>IF($C235="","",IF($E235="",30,$E235)/60)</f>
      </c>
      <c r="G235" s="30">
        <f>IF($C235="","",(30-IF($E235="",30,$E235))/60)</f>
      </c>
      <c r="H235" s="30">
        <f>IF($C235="",0,IF(IFERROR(VLOOKUP($C235,Setup!$A$2:$B$60,2,FALSE),"N")="Y",$F235,0))</f>
      </c>
      <c r="I235" s="31">
        <f>IF($C235="",0,IF(IFERROR(VLOOKUP($C235,Setup!$A$2:$B$60,2,FALSE),"N")="Y",N($D235),0))</f>
      </c>
      <c r="J235" s="30">
        <f>IF($H235&gt;0,$I235/$H235,"")</f>
      </c>
    </row>
    <row r="236" spans="1:10" x14ac:dyDescent="0.25">
      <c r="A236" s="33">
        <v>46306</v>
      </c>
      <c r="B236" s="34" t="s">
        <v>39</v>
      </c>
      <c r="C236" s="35"/>
      <c r="D236" s="36"/>
      <c r="E236" s="36"/>
      <c r="F236" s="37">
        <f>IF($C236="","",IF($E236="",30,$E236)/60)</f>
      </c>
      <c r="G236" s="37">
        <f>IF($C236="","",(30-IF($E236="",30,$E236))/60)</f>
      </c>
      <c r="H236" s="37">
        <f>IF($C236="",0,IF(IFERROR(VLOOKUP($C236,Setup!$A$2:$B$60,2,FALSE),"N")="Y",$F236,0))</f>
      </c>
      <c r="I236" s="38">
        <f>IF($C236="",0,IF(IFERROR(VLOOKUP($C236,Setup!$A$2:$B$60,2,FALSE),"N")="Y",N($D236),0))</f>
      </c>
      <c r="J236" s="37">
        <f>IF($H236&gt;0,$I236/$H236,"")</f>
      </c>
    </row>
    <row r="237" spans="1:10" x14ac:dyDescent="0.25">
      <c r="A237" s="26">
        <v>46306</v>
      </c>
      <c r="B237" s="27" t="s">
        <v>40</v>
      </c>
      <c r="C237" s="28"/>
      <c r="D237" s="29"/>
      <c r="E237" s="29"/>
      <c r="F237" s="30">
        <f>IF($C237="","",IF($E237="",30,$E237)/60)</f>
      </c>
      <c r="G237" s="30">
        <f>IF($C237="","",(30-IF($E237="",30,$E237))/60)</f>
      </c>
      <c r="H237" s="30">
        <f>IF($C237="",0,IF(IFERROR(VLOOKUP($C237,Setup!$A$2:$B$60,2,FALSE),"N")="Y",$F237,0))</f>
      </c>
      <c r="I237" s="31">
        <f>IF($C237="",0,IF(IFERROR(VLOOKUP($C237,Setup!$A$2:$B$60,2,FALSE),"N")="Y",N($D237),0))</f>
      </c>
      <c r="J237" s="30">
        <f>IF($H237&gt;0,$I237/$H237,"")</f>
      </c>
    </row>
    <row r="238" spans="1:10" x14ac:dyDescent="0.25">
      <c r="A238" s="33">
        <v>46306</v>
      </c>
      <c r="B238" s="34" t="s">
        <v>41</v>
      </c>
      <c r="C238" s="35"/>
      <c r="D238" s="36"/>
      <c r="E238" s="36"/>
      <c r="F238" s="37">
        <f>IF($C238="","",IF($E238="",30,$E238)/60)</f>
      </c>
      <c r="G238" s="37">
        <f>IF($C238="","",(30-IF($E238="",30,$E238))/60)</f>
      </c>
      <c r="H238" s="37">
        <f>IF($C238="",0,IF(IFERROR(VLOOKUP($C238,Setup!$A$2:$B$60,2,FALSE),"N")="Y",$F238,0))</f>
      </c>
      <c r="I238" s="38">
        <f>IF($C238="",0,IF(IFERROR(VLOOKUP($C238,Setup!$A$2:$B$60,2,FALSE),"N")="Y",N($D238),0))</f>
      </c>
      <c r="J238" s="37">
        <f>IF($H238&gt;0,$I238/$H238,"")</f>
      </c>
    </row>
    <row r="239" spans="1:10" x14ac:dyDescent="0.25">
      <c r="A239" s="26">
        <v>46306</v>
      </c>
      <c r="B239" s="27" t="s">
        <v>42</v>
      </c>
      <c r="C239" s="28"/>
      <c r="D239" s="29"/>
      <c r="E239" s="29"/>
      <c r="F239" s="30">
        <f>IF($C239="","",IF($E239="",30,$E239)/60)</f>
      </c>
      <c r="G239" s="30">
        <f>IF($C239="","",(30-IF($E239="",30,$E239))/60)</f>
      </c>
      <c r="H239" s="30">
        <f>IF($C239="",0,IF(IFERROR(VLOOKUP($C239,Setup!$A$2:$B$60,2,FALSE),"N")="Y",$F239,0))</f>
      </c>
      <c r="I239" s="31">
        <f>IF($C239="",0,IF(IFERROR(VLOOKUP($C239,Setup!$A$2:$B$60,2,FALSE),"N")="Y",N($D239),0))</f>
      </c>
      <c r="J239" s="30">
        <f>IF($H239&gt;0,$I239/$H239,"")</f>
      </c>
    </row>
    <row r="240" spans="1:10" x14ac:dyDescent="0.25">
      <c r="A240" s="33">
        <v>46306</v>
      </c>
      <c r="B240" s="34" t="s">
        <v>43</v>
      </c>
      <c r="C240" s="35"/>
      <c r="D240" s="36"/>
      <c r="E240" s="36"/>
      <c r="F240" s="37">
        <f>IF($C240="","",IF($E240="",30,$E240)/60)</f>
      </c>
      <c r="G240" s="37">
        <f>IF($C240="","",(30-IF($E240="",30,$E240))/60)</f>
      </c>
      <c r="H240" s="37">
        <f>IF($C240="",0,IF(IFERROR(VLOOKUP($C240,Setup!$A$2:$B$60,2,FALSE),"N")="Y",$F240,0))</f>
      </c>
      <c r="I240" s="38">
        <f>IF($C240="",0,IF(IFERROR(VLOOKUP($C240,Setup!$A$2:$B$60,2,FALSE),"N")="Y",N($D240),0))</f>
      </c>
      <c r="J240" s="37">
        <f>IF($H240&gt;0,$I240/$H240,"")</f>
      </c>
    </row>
    <row r="241" spans="2:10" x14ac:dyDescent="0.25">
      <c r="B241" s="39" t="s">
        <v>44</v>
      </c>
      <c r="C241" s="40"/>
      <c r="D241" s="41">
        <f>SUM(I223:I240)</f>
      </c>
      <c r="E241" s="40"/>
      <c r="F241" s="42">
        <f>SUM(F223:F240)</f>
      </c>
      <c r="G241" s="42">
        <f>SUM(G223:G240)</f>
      </c>
      <c r="H241" s="42">
        <f>SUM(H223:H240)</f>
      </c>
      <c r="I241" s="40"/>
      <c r="J241" s="42">
        <f>IF(H241&gt;0,D241/H241,"")</f>
      </c>
    </row>
    <row r="243" ht="26" customHeight="1" spans="2:10" x14ac:dyDescent="0.25">
      <c r="B243" s="21">
        <v>46307</v>
      </c>
      <c r="C243" s="21"/>
      <c r="D243" s="21"/>
      <c r="E243" s="22" t="s">
        <v>21</v>
      </c>
      <c r="F243" s="22"/>
      <c r="G243" s="22"/>
      <c r="H243" s="22"/>
      <c r="I243" s="22"/>
      <c r="J243" s="22"/>
    </row>
    <row r="244" ht="18" customHeight="1" spans="2:10" x14ac:dyDescent="0.25">
      <c r="B244" s="23" t="s">
        <v>22</v>
      </c>
      <c r="C244" s="23" t="s">
        <v>19</v>
      </c>
      <c r="D244" s="24" t="s">
        <v>4</v>
      </c>
      <c r="E244" s="24" t="s">
        <v>23</v>
      </c>
      <c r="F244" s="25" t="s">
        <v>13</v>
      </c>
      <c r="G244" s="25" t="s">
        <v>24</v>
      </c>
      <c r="H244" s="25" t="s">
        <v>25</v>
      </c>
      <c r="I244" s="25" t="s">
        <v>4</v>
      </c>
      <c r="J244" s="25" t="s">
        <v>14</v>
      </c>
    </row>
    <row r="245" spans="1:11" x14ac:dyDescent="0.25">
      <c r="A245" s="26">
        <v>46307</v>
      </c>
      <c r="B245" s="27" t="s">
        <v>26</v>
      </c>
      <c r="C245" s="28"/>
      <c r="D245" s="29"/>
      <c r="E245" s="29"/>
      <c r="F245" s="30">
        <f>IF($C245="","",IF($E245="",30,$E245)/60)</f>
      </c>
      <c r="G245" s="30">
        <f>IF($C245="","",(30-IF($E245="",30,$E245))/60)</f>
      </c>
      <c r="H245" s="30">
        <f>IF($C245="",0,IF(IFERROR(VLOOKUP($C245,Setup!$A$2:$B$60,2,FALSE),"N")="Y",$F245,0))</f>
      </c>
      <c r="I245" s="31">
        <f>IF($C245="",0,IF(IFERROR(VLOOKUP($C245,Setup!$A$2:$B$60,2,FALSE),"N")="Y",N($D245),0))</f>
      </c>
      <c r="J245" s="30">
        <f>IF($H245&gt;0,$I245/$H245,"")</f>
      </c>
      <c r="K245" s="32">
        <f>IF($F263&gt;0,9,0)</f>
      </c>
    </row>
    <row r="246" spans="1:10" x14ac:dyDescent="0.25">
      <c r="A246" s="33">
        <v>46307</v>
      </c>
      <c r="B246" s="34" t="s">
        <v>27</v>
      </c>
      <c r="C246" s="35"/>
      <c r="D246" s="36"/>
      <c r="E246" s="36"/>
      <c r="F246" s="37">
        <f>IF($C246="","",IF($E246="",30,$E246)/60)</f>
      </c>
      <c r="G246" s="37">
        <f>IF($C246="","",(30-IF($E246="",30,$E246))/60)</f>
      </c>
      <c r="H246" s="37">
        <f>IF($C246="",0,IF(IFERROR(VLOOKUP($C246,Setup!$A$2:$B$60,2,FALSE),"N")="Y",$F246,0))</f>
      </c>
      <c r="I246" s="38">
        <f>IF($C246="",0,IF(IFERROR(VLOOKUP($C246,Setup!$A$2:$B$60,2,FALSE),"N")="Y",N($D246),0))</f>
      </c>
      <c r="J246" s="37">
        <f>IF($H246&gt;0,$I246/$H246,"")</f>
      </c>
    </row>
    <row r="247" spans="1:10" x14ac:dyDescent="0.25">
      <c r="A247" s="26">
        <v>46307</v>
      </c>
      <c r="B247" s="27" t="s">
        <v>28</v>
      </c>
      <c r="C247" s="28"/>
      <c r="D247" s="29"/>
      <c r="E247" s="29"/>
      <c r="F247" s="30">
        <f>IF($C247="","",IF($E247="",30,$E247)/60)</f>
      </c>
      <c r="G247" s="30">
        <f>IF($C247="","",(30-IF($E247="",30,$E247))/60)</f>
      </c>
      <c r="H247" s="30">
        <f>IF($C247="",0,IF(IFERROR(VLOOKUP($C247,Setup!$A$2:$B$60,2,FALSE),"N")="Y",$F247,0))</f>
      </c>
      <c r="I247" s="31">
        <f>IF($C247="",0,IF(IFERROR(VLOOKUP($C247,Setup!$A$2:$B$60,2,FALSE),"N")="Y",N($D247),0))</f>
      </c>
      <c r="J247" s="30">
        <f>IF($H247&gt;0,$I247/$H247,"")</f>
      </c>
    </row>
    <row r="248" spans="1:10" x14ac:dyDescent="0.25">
      <c r="A248" s="33">
        <v>46307</v>
      </c>
      <c r="B248" s="34" t="s">
        <v>29</v>
      </c>
      <c r="C248" s="35"/>
      <c r="D248" s="36"/>
      <c r="E248" s="36"/>
      <c r="F248" s="37">
        <f>IF($C248="","",IF($E248="",30,$E248)/60)</f>
      </c>
      <c r="G248" s="37">
        <f>IF($C248="","",(30-IF($E248="",30,$E248))/60)</f>
      </c>
      <c r="H248" s="37">
        <f>IF($C248="",0,IF(IFERROR(VLOOKUP($C248,Setup!$A$2:$B$60,2,FALSE),"N")="Y",$F248,0))</f>
      </c>
      <c r="I248" s="38">
        <f>IF($C248="",0,IF(IFERROR(VLOOKUP($C248,Setup!$A$2:$B$60,2,FALSE),"N")="Y",N($D248),0))</f>
      </c>
      <c r="J248" s="37">
        <f>IF($H248&gt;0,$I248/$H248,"")</f>
      </c>
    </row>
    <row r="249" spans="1:10" x14ac:dyDescent="0.25">
      <c r="A249" s="26">
        <v>46307</v>
      </c>
      <c r="B249" s="27" t="s">
        <v>30</v>
      </c>
      <c r="C249" s="28"/>
      <c r="D249" s="29"/>
      <c r="E249" s="29"/>
      <c r="F249" s="30">
        <f>IF($C249="","",IF($E249="",30,$E249)/60)</f>
      </c>
      <c r="G249" s="30">
        <f>IF($C249="","",(30-IF($E249="",30,$E249))/60)</f>
      </c>
      <c r="H249" s="30">
        <f>IF($C249="",0,IF(IFERROR(VLOOKUP($C249,Setup!$A$2:$B$60,2,FALSE),"N")="Y",$F249,0))</f>
      </c>
      <c r="I249" s="31">
        <f>IF($C249="",0,IF(IFERROR(VLOOKUP($C249,Setup!$A$2:$B$60,2,FALSE),"N")="Y",N($D249),0))</f>
      </c>
      <c r="J249" s="30">
        <f>IF($H249&gt;0,$I249/$H249,"")</f>
      </c>
    </row>
    <row r="250" spans="1:10" x14ac:dyDescent="0.25">
      <c r="A250" s="33">
        <v>46307</v>
      </c>
      <c r="B250" s="34" t="s">
        <v>31</v>
      </c>
      <c r="C250" s="35"/>
      <c r="D250" s="36"/>
      <c r="E250" s="36"/>
      <c r="F250" s="37">
        <f>IF($C250="","",IF($E250="",30,$E250)/60)</f>
      </c>
      <c r="G250" s="37">
        <f>IF($C250="","",(30-IF($E250="",30,$E250))/60)</f>
      </c>
      <c r="H250" s="37">
        <f>IF($C250="",0,IF(IFERROR(VLOOKUP($C250,Setup!$A$2:$B$60,2,FALSE),"N")="Y",$F250,0))</f>
      </c>
      <c r="I250" s="38">
        <f>IF($C250="",0,IF(IFERROR(VLOOKUP($C250,Setup!$A$2:$B$60,2,FALSE),"N")="Y",N($D250),0))</f>
      </c>
      <c r="J250" s="37">
        <f>IF($H250&gt;0,$I250/$H250,"")</f>
      </c>
    </row>
    <row r="251" spans="1:10" x14ac:dyDescent="0.25">
      <c r="A251" s="26">
        <v>46307</v>
      </c>
      <c r="B251" s="27" t="s">
        <v>32</v>
      </c>
      <c r="C251" s="28"/>
      <c r="D251" s="29"/>
      <c r="E251" s="29"/>
      <c r="F251" s="30">
        <f>IF($C251="","",IF($E251="",30,$E251)/60)</f>
      </c>
      <c r="G251" s="30">
        <f>IF($C251="","",(30-IF($E251="",30,$E251))/60)</f>
      </c>
      <c r="H251" s="30">
        <f>IF($C251="",0,IF(IFERROR(VLOOKUP($C251,Setup!$A$2:$B$60,2,FALSE),"N")="Y",$F251,0))</f>
      </c>
      <c r="I251" s="31">
        <f>IF($C251="",0,IF(IFERROR(VLOOKUP($C251,Setup!$A$2:$B$60,2,FALSE),"N")="Y",N($D251),0))</f>
      </c>
      <c r="J251" s="30">
        <f>IF($H251&gt;0,$I251/$H251,"")</f>
      </c>
    </row>
    <row r="252" spans="1:10" x14ac:dyDescent="0.25">
      <c r="A252" s="33">
        <v>46307</v>
      </c>
      <c r="B252" s="34" t="s">
        <v>33</v>
      </c>
      <c r="C252" s="35"/>
      <c r="D252" s="36"/>
      <c r="E252" s="36"/>
      <c r="F252" s="37">
        <f>IF($C252="","",IF($E252="",30,$E252)/60)</f>
      </c>
      <c r="G252" s="37">
        <f>IF($C252="","",(30-IF($E252="",30,$E252))/60)</f>
      </c>
      <c r="H252" s="37">
        <f>IF($C252="",0,IF(IFERROR(VLOOKUP($C252,Setup!$A$2:$B$60,2,FALSE),"N")="Y",$F252,0))</f>
      </c>
      <c r="I252" s="38">
        <f>IF($C252="",0,IF(IFERROR(VLOOKUP($C252,Setup!$A$2:$B$60,2,FALSE),"N")="Y",N($D252),0))</f>
      </c>
      <c r="J252" s="37">
        <f>IF($H252&gt;0,$I252/$H252,"")</f>
      </c>
    </row>
    <row r="253" spans="1:10" x14ac:dyDescent="0.25">
      <c r="A253" s="26">
        <v>46307</v>
      </c>
      <c r="B253" s="27" t="s">
        <v>34</v>
      </c>
      <c r="C253" s="28"/>
      <c r="D253" s="29"/>
      <c r="E253" s="29"/>
      <c r="F253" s="30">
        <f>IF($C253="","",IF($E253="",30,$E253)/60)</f>
      </c>
      <c r="G253" s="30">
        <f>IF($C253="","",(30-IF($E253="",30,$E253))/60)</f>
      </c>
      <c r="H253" s="30">
        <f>IF($C253="",0,IF(IFERROR(VLOOKUP($C253,Setup!$A$2:$B$60,2,FALSE),"N")="Y",$F253,0))</f>
      </c>
      <c r="I253" s="31">
        <f>IF($C253="",0,IF(IFERROR(VLOOKUP($C253,Setup!$A$2:$B$60,2,FALSE),"N")="Y",N($D253),0))</f>
      </c>
      <c r="J253" s="30">
        <f>IF($H253&gt;0,$I253/$H253,"")</f>
      </c>
    </row>
    <row r="254" spans="1:10" x14ac:dyDescent="0.25">
      <c r="A254" s="33">
        <v>46307</v>
      </c>
      <c r="B254" s="34" t="s">
        <v>35</v>
      </c>
      <c r="C254" s="35"/>
      <c r="D254" s="36"/>
      <c r="E254" s="36"/>
      <c r="F254" s="37">
        <f>IF($C254="","",IF($E254="",30,$E254)/60)</f>
      </c>
      <c r="G254" s="37">
        <f>IF($C254="","",(30-IF($E254="",30,$E254))/60)</f>
      </c>
      <c r="H254" s="37">
        <f>IF($C254="",0,IF(IFERROR(VLOOKUP($C254,Setup!$A$2:$B$60,2,FALSE),"N")="Y",$F254,0))</f>
      </c>
      <c r="I254" s="38">
        <f>IF($C254="",0,IF(IFERROR(VLOOKUP($C254,Setup!$A$2:$B$60,2,FALSE),"N")="Y",N($D254),0))</f>
      </c>
      <c r="J254" s="37">
        <f>IF($H254&gt;0,$I254/$H254,"")</f>
      </c>
    </row>
    <row r="255" spans="1:10" x14ac:dyDescent="0.25">
      <c r="A255" s="26">
        <v>46307</v>
      </c>
      <c r="B255" s="27" t="s">
        <v>36</v>
      </c>
      <c r="C255" s="28"/>
      <c r="D255" s="29"/>
      <c r="E255" s="29"/>
      <c r="F255" s="30">
        <f>IF($C255="","",IF($E255="",30,$E255)/60)</f>
      </c>
      <c r="G255" s="30">
        <f>IF($C255="","",(30-IF($E255="",30,$E255))/60)</f>
      </c>
      <c r="H255" s="30">
        <f>IF($C255="",0,IF(IFERROR(VLOOKUP($C255,Setup!$A$2:$B$60,2,FALSE),"N")="Y",$F255,0))</f>
      </c>
      <c r="I255" s="31">
        <f>IF($C255="",0,IF(IFERROR(VLOOKUP($C255,Setup!$A$2:$B$60,2,FALSE),"N")="Y",N($D255),0))</f>
      </c>
      <c r="J255" s="30">
        <f>IF($H255&gt;0,$I255/$H255,"")</f>
      </c>
    </row>
    <row r="256" spans="1:10" x14ac:dyDescent="0.25">
      <c r="A256" s="33">
        <v>46307</v>
      </c>
      <c r="B256" s="34" t="s">
        <v>37</v>
      </c>
      <c r="C256" s="35"/>
      <c r="D256" s="36"/>
      <c r="E256" s="36"/>
      <c r="F256" s="37">
        <f>IF($C256="","",IF($E256="",30,$E256)/60)</f>
      </c>
      <c r="G256" s="37">
        <f>IF($C256="","",(30-IF($E256="",30,$E256))/60)</f>
      </c>
      <c r="H256" s="37">
        <f>IF($C256="",0,IF(IFERROR(VLOOKUP($C256,Setup!$A$2:$B$60,2,FALSE),"N")="Y",$F256,0))</f>
      </c>
      <c r="I256" s="38">
        <f>IF($C256="",0,IF(IFERROR(VLOOKUP($C256,Setup!$A$2:$B$60,2,FALSE),"N")="Y",N($D256),0))</f>
      </c>
      <c r="J256" s="37">
        <f>IF($H256&gt;0,$I256/$H256,"")</f>
      </c>
    </row>
    <row r="257" spans="1:10" x14ac:dyDescent="0.25">
      <c r="A257" s="26">
        <v>46307</v>
      </c>
      <c r="B257" s="27" t="s">
        <v>38</v>
      </c>
      <c r="C257" s="28"/>
      <c r="D257" s="29"/>
      <c r="E257" s="29"/>
      <c r="F257" s="30">
        <f>IF($C257="","",IF($E257="",30,$E257)/60)</f>
      </c>
      <c r="G257" s="30">
        <f>IF($C257="","",(30-IF($E257="",30,$E257))/60)</f>
      </c>
      <c r="H257" s="30">
        <f>IF($C257="",0,IF(IFERROR(VLOOKUP($C257,Setup!$A$2:$B$60,2,FALSE),"N")="Y",$F257,0))</f>
      </c>
      <c r="I257" s="31">
        <f>IF($C257="",0,IF(IFERROR(VLOOKUP($C257,Setup!$A$2:$B$60,2,FALSE),"N")="Y",N($D257),0))</f>
      </c>
      <c r="J257" s="30">
        <f>IF($H257&gt;0,$I257/$H257,"")</f>
      </c>
    </row>
    <row r="258" spans="1:10" x14ac:dyDescent="0.25">
      <c r="A258" s="33">
        <v>46307</v>
      </c>
      <c r="B258" s="34" t="s">
        <v>39</v>
      </c>
      <c r="C258" s="35"/>
      <c r="D258" s="36"/>
      <c r="E258" s="36"/>
      <c r="F258" s="37">
        <f>IF($C258="","",IF($E258="",30,$E258)/60)</f>
      </c>
      <c r="G258" s="37">
        <f>IF($C258="","",(30-IF($E258="",30,$E258))/60)</f>
      </c>
      <c r="H258" s="37">
        <f>IF($C258="",0,IF(IFERROR(VLOOKUP($C258,Setup!$A$2:$B$60,2,FALSE),"N")="Y",$F258,0))</f>
      </c>
      <c r="I258" s="38">
        <f>IF($C258="",0,IF(IFERROR(VLOOKUP($C258,Setup!$A$2:$B$60,2,FALSE),"N")="Y",N($D258),0))</f>
      </c>
      <c r="J258" s="37">
        <f>IF($H258&gt;0,$I258/$H258,"")</f>
      </c>
    </row>
    <row r="259" spans="1:10" x14ac:dyDescent="0.25">
      <c r="A259" s="26">
        <v>46307</v>
      </c>
      <c r="B259" s="27" t="s">
        <v>40</v>
      </c>
      <c r="C259" s="28"/>
      <c r="D259" s="29"/>
      <c r="E259" s="29"/>
      <c r="F259" s="30">
        <f>IF($C259="","",IF($E259="",30,$E259)/60)</f>
      </c>
      <c r="G259" s="30">
        <f>IF($C259="","",(30-IF($E259="",30,$E259))/60)</f>
      </c>
      <c r="H259" s="30">
        <f>IF($C259="",0,IF(IFERROR(VLOOKUP($C259,Setup!$A$2:$B$60,2,FALSE),"N")="Y",$F259,0))</f>
      </c>
      <c r="I259" s="31">
        <f>IF($C259="",0,IF(IFERROR(VLOOKUP($C259,Setup!$A$2:$B$60,2,FALSE),"N")="Y",N($D259),0))</f>
      </c>
      <c r="J259" s="30">
        <f>IF($H259&gt;0,$I259/$H259,"")</f>
      </c>
    </row>
    <row r="260" spans="1:10" x14ac:dyDescent="0.25">
      <c r="A260" s="33">
        <v>46307</v>
      </c>
      <c r="B260" s="34" t="s">
        <v>41</v>
      </c>
      <c r="C260" s="35"/>
      <c r="D260" s="36"/>
      <c r="E260" s="36"/>
      <c r="F260" s="37">
        <f>IF($C260="","",IF($E260="",30,$E260)/60)</f>
      </c>
      <c r="G260" s="37">
        <f>IF($C260="","",(30-IF($E260="",30,$E260))/60)</f>
      </c>
      <c r="H260" s="37">
        <f>IF($C260="",0,IF(IFERROR(VLOOKUP($C260,Setup!$A$2:$B$60,2,FALSE),"N")="Y",$F260,0))</f>
      </c>
      <c r="I260" s="38">
        <f>IF($C260="",0,IF(IFERROR(VLOOKUP($C260,Setup!$A$2:$B$60,2,FALSE),"N")="Y",N($D260),0))</f>
      </c>
      <c r="J260" s="37">
        <f>IF($H260&gt;0,$I260/$H260,"")</f>
      </c>
    </row>
    <row r="261" spans="1:10" x14ac:dyDescent="0.25">
      <c r="A261" s="26">
        <v>46307</v>
      </c>
      <c r="B261" s="27" t="s">
        <v>42</v>
      </c>
      <c r="C261" s="28"/>
      <c r="D261" s="29"/>
      <c r="E261" s="29"/>
      <c r="F261" s="30">
        <f>IF($C261="","",IF($E261="",30,$E261)/60)</f>
      </c>
      <c r="G261" s="30">
        <f>IF($C261="","",(30-IF($E261="",30,$E261))/60)</f>
      </c>
      <c r="H261" s="30">
        <f>IF($C261="",0,IF(IFERROR(VLOOKUP($C261,Setup!$A$2:$B$60,2,FALSE),"N")="Y",$F261,0))</f>
      </c>
      <c r="I261" s="31">
        <f>IF($C261="",0,IF(IFERROR(VLOOKUP($C261,Setup!$A$2:$B$60,2,FALSE),"N")="Y",N($D261),0))</f>
      </c>
      <c r="J261" s="30">
        <f>IF($H261&gt;0,$I261/$H261,"")</f>
      </c>
    </row>
    <row r="262" spans="1:10" x14ac:dyDescent="0.25">
      <c r="A262" s="33">
        <v>46307</v>
      </c>
      <c r="B262" s="34" t="s">
        <v>43</v>
      </c>
      <c r="C262" s="35"/>
      <c r="D262" s="36"/>
      <c r="E262" s="36"/>
      <c r="F262" s="37">
        <f>IF($C262="","",IF($E262="",30,$E262)/60)</f>
      </c>
      <c r="G262" s="37">
        <f>IF($C262="","",(30-IF($E262="",30,$E262))/60)</f>
      </c>
      <c r="H262" s="37">
        <f>IF($C262="",0,IF(IFERROR(VLOOKUP($C262,Setup!$A$2:$B$60,2,FALSE),"N")="Y",$F262,0))</f>
      </c>
      <c r="I262" s="38">
        <f>IF($C262="",0,IF(IFERROR(VLOOKUP($C262,Setup!$A$2:$B$60,2,FALSE),"N")="Y",N($D262),0))</f>
      </c>
      <c r="J262" s="37">
        <f>IF($H262&gt;0,$I262/$H262,"")</f>
      </c>
    </row>
    <row r="263" spans="2:10" x14ac:dyDescent="0.25">
      <c r="B263" s="39" t="s">
        <v>44</v>
      </c>
      <c r="C263" s="40"/>
      <c r="D263" s="41">
        <f>SUM(I245:I262)</f>
      </c>
      <c r="E263" s="40"/>
      <c r="F263" s="42">
        <f>SUM(F245:F262)</f>
      </c>
      <c r="G263" s="42">
        <f>SUM(G245:G262)</f>
      </c>
      <c r="H263" s="42">
        <f>SUM(H245:H262)</f>
      </c>
      <c r="I263" s="40"/>
      <c r="J263" s="42">
        <f>IF(H263&gt;0,D263/H263,"")</f>
      </c>
    </row>
    <row r="265" ht="26" customHeight="1" spans="2:10" x14ac:dyDescent="0.25">
      <c r="B265" s="21">
        <v>46308</v>
      </c>
      <c r="C265" s="21"/>
      <c r="D265" s="21"/>
      <c r="E265" s="22" t="s">
        <v>21</v>
      </c>
      <c r="F265" s="22"/>
      <c r="G265" s="22"/>
      <c r="H265" s="22"/>
      <c r="I265" s="22"/>
      <c r="J265" s="22"/>
    </row>
    <row r="266" ht="18" customHeight="1" spans="2:10" x14ac:dyDescent="0.25">
      <c r="B266" s="23" t="s">
        <v>22</v>
      </c>
      <c r="C266" s="23" t="s">
        <v>19</v>
      </c>
      <c r="D266" s="24" t="s">
        <v>4</v>
      </c>
      <c r="E266" s="24" t="s">
        <v>23</v>
      </c>
      <c r="F266" s="25" t="s">
        <v>13</v>
      </c>
      <c r="G266" s="25" t="s">
        <v>24</v>
      </c>
      <c r="H266" s="25" t="s">
        <v>25</v>
      </c>
      <c r="I266" s="25" t="s">
        <v>4</v>
      </c>
      <c r="J266" s="25" t="s">
        <v>14</v>
      </c>
    </row>
    <row r="267" spans="1:11" x14ac:dyDescent="0.25">
      <c r="A267" s="26">
        <v>46308</v>
      </c>
      <c r="B267" s="27" t="s">
        <v>26</v>
      </c>
      <c r="C267" s="28"/>
      <c r="D267" s="29"/>
      <c r="E267" s="29"/>
      <c r="F267" s="30">
        <f>IF($C267="","",IF($E267="",30,$E267)/60)</f>
      </c>
      <c r="G267" s="30">
        <f>IF($C267="","",(30-IF($E267="",30,$E267))/60)</f>
      </c>
      <c r="H267" s="30">
        <f>IF($C267="",0,IF(IFERROR(VLOOKUP($C267,Setup!$A$2:$B$60,2,FALSE),"N")="Y",$F267,0))</f>
      </c>
      <c r="I267" s="31">
        <f>IF($C267="",0,IF(IFERROR(VLOOKUP($C267,Setup!$A$2:$B$60,2,FALSE),"N")="Y",N($D267),0))</f>
      </c>
      <c r="J267" s="30">
        <f>IF($H267&gt;0,$I267/$H267,"")</f>
      </c>
      <c r="K267" s="32">
        <f>IF($F285&gt;0,9,0)</f>
      </c>
    </row>
    <row r="268" spans="1:10" x14ac:dyDescent="0.25">
      <c r="A268" s="33">
        <v>46308</v>
      </c>
      <c r="B268" s="34" t="s">
        <v>27</v>
      </c>
      <c r="C268" s="35"/>
      <c r="D268" s="36"/>
      <c r="E268" s="36"/>
      <c r="F268" s="37">
        <f>IF($C268="","",IF($E268="",30,$E268)/60)</f>
      </c>
      <c r="G268" s="37">
        <f>IF($C268="","",(30-IF($E268="",30,$E268))/60)</f>
      </c>
      <c r="H268" s="37">
        <f>IF($C268="",0,IF(IFERROR(VLOOKUP($C268,Setup!$A$2:$B$60,2,FALSE),"N")="Y",$F268,0))</f>
      </c>
      <c r="I268" s="38">
        <f>IF($C268="",0,IF(IFERROR(VLOOKUP($C268,Setup!$A$2:$B$60,2,FALSE),"N")="Y",N($D268),0))</f>
      </c>
      <c r="J268" s="37">
        <f>IF($H268&gt;0,$I268/$H268,"")</f>
      </c>
    </row>
    <row r="269" spans="1:10" x14ac:dyDescent="0.25">
      <c r="A269" s="26">
        <v>46308</v>
      </c>
      <c r="B269" s="27" t="s">
        <v>28</v>
      </c>
      <c r="C269" s="28"/>
      <c r="D269" s="29"/>
      <c r="E269" s="29"/>
      <c r="F269" s="30">
        <f>IF($C269="","",IF($E269="",30,$E269)/60)</f>
      </c>
      <c r="G269" s="30">
        <f>IF($C269="","",(30-IF($E269="",30,$E269))/60)</f>
      </c>
      <c r="H269" s="30">
        <f>IF($C269="",0,IF(IFERROR(VLOOKUP($C269,Setup!$A$2:$B$60,2,FALSE),"N")="Y",$F269,0))</f>
      </c>
      <c r="I269" s="31">
        <f>IF($C269="",0,IF(IFERROR(VLOOKUP($C269,Setup!$A$2:$B$60,2,FALSE),"N")="Y",N($D269),0))</f>
      </c>
      <c r="J269" s="30">
        <f>IF($H269&gt;0,$I269/$H269,"")</f>
      </c>
    </row>
    <row r="270" spans="1:10" x14ac:dyDescent="0.25">
      <c r="A270" s="33">
        <v>46308</v>
      </c>
      <c r="B270" s="34" t="s">
        <v>29</v>
      </c>
      <c r="C270" s="35"/>
      <c r="D270" s="36"/>
      <c r="E270" s="36"/>
      <c r="F270" s="37">
        <f>IF($C270="","",IF($E270="",30,$E270)/60)</f>
      </c>
      <c r="G270" s="37">
        <f>IF($C270="","",(30-IF($E270="",30,$E270))/60)</f>
      </c>
      <c r="H270" s="37">
        <f>IF($C270="",0,IF(IFERROR(VLOOKUP($C270,Setup!$A$2:$B$60,2,FALSE),"N")="Y",$F270,0))</f>
      </c>
      <c r="I270" s="38">
        <f>IF($C270="",0,IF(IFERROR(VLOOKUP($C270,Setup!$A$2:$B$60,2,FALSE),"N")="Y",N($D270),0))</f>
      </c>
      <c r="J270" s="37">
        <f>IF($H270&gt;0,$I270/$H270,"")</f>
      </c>
    </row>
    <row r="271" spans="1:10" x14ac:dyDescent="0.25">
      <c r="A271" s="26">
        <v>46308</v>
      </c>
      <c r="B271" s="27" t="s">
        <v>30</v>
      </c>
      <c r="C271" s="28"/>
      <c r="D271" s="29"/>
      <c r="E271" s="29"/>
      <c r="F271" s="30">
        <f>IF($C271="","",IF($E271="",30,$E271)/60)</f>
      </c>
      <c r="G271" s="30">
        <f>IF($C271="","",(30-IF($E271="",30,$E271))/60)</f>
      </c>
      <c r="H271" s="30">
        <f>IF($C271="",0,IF(IFERROR(VLOOKUP($C271,Setup!$A$2:$B$60,2,FALSE),"N")="Y",$F271,0))</f>
      </c>
      <c r="I271" s="31">
        <f>IF($C271="",0,IF(IFERROR(VLOOKUP($C271,Setup!$A$2:$B$60,2,FALSE),"N")="Y",N($D271),0))</f>
      </c>
      <c r="J271" s="30">
        <f>IF($H271&gt;0,$I271/$H271,"")</f>
      </c>
    </row>
    <row r="272" spans="1:10" x14ac:dyDescent="0.25">
      <c r="A272" s="33">
        <v>46308</v>
      </c>
      <c r="B272" s="34" t="s">
        <v>31</v>
      </c>
      <c r="C272" s="35"/>
      <c r="D272" s="36"/>
      <c r="E272" s="36"/>
      <c r="F272" s="37">
        <f>IF($C272="","",IF($E272="",30,$E272)/60)</f>
      </c>
      <c r="G272" s="37">
        <f>IF($C272="","",(30-IF($E272="",30,$E272))/60)</f>
      </c>
      <c r="H272" s="37">
        <f>IF($C272="",0,IF(IFERROR(VLOOKUP($C272,Setup!$A$2:$B$60,2,FALSE),"N")="Y",$F272,0))</f>
      </c>
      <c r="I272" s="38">
        <f>IF($C272="",0,IF(IFERROR(VLOOKUP($C272,Setup!$A$2:$B$60,2,FALSE),"N")="Y",N($D272),0))</f>
      </c>
      <c r="J272" s="37">
        <f>IF($H272&gt;0,$I272/$H272,"")</f>
      </c>
    </row>
    <row r="273" spans="1:10" x14ac:dyDescent="0.25">
      <c r="A273" s="26">
        <v>46308</v>
      </c>
      <c r="B273" s="27" t="s">
        <v>32</v>
      </c>
      <c r="C273" s="28"/>
      <c r="D273" s="29"/>
      <c r="E273" s="29"/>
      <c r="F273" s="30">
        <f>IF($C273="","",IF($E273="",30,$E273)/60)</f>
      </c>
      <c r="G273" s="30">
        <f>IF($C273="","",(30-IF($E273="",30,$E273))/60)</f>
      </c>
      <c r="H273" s="30">
        <f>IF($C273="",0,IF(IFERROR(VLOOKUP($C273,Setup!$A$2:$B$60,2,FALSE),"N")="Y",$F273,0))</f>
      </c>
      <c r="I273" s="31">
        <f>IF($C273="",0,IF(IFERROR(VLOOKUP($C273,Setup!$A$2:$B$60,2,FALSE),"N")="Y",N($D273),0))</f>
      </c>
      <c r="J273" s="30">
        <f>IF($H273&gt;0,$I273/$H273,"")</f>
      </c>
    </row>
    <row r="274" spans="1:10" x14ac:dyDescent="0.25">
      <c r="A274" s="33">
        <v>46308</v>
      </c>
      <c r="B274" s="34" t="s">
        <v>33</v>
      </c>
      <c r="C274" s="35"/>
      <c r="D274" s="36"/>
      <c r="E274" s="36"/>
      <c r="F274" s="37">
        <f>IF($C274="","",IF($E274="",30,$E274)/60)</f>
      </c>
      <c r="G274" s="37">
        <f>IF($C274="","",(30-IF($E274="",30,$E274))/60)</f>
      </c>
      <c r="H274" s="37">
        <f>IF($C274="",0,IF(IFERROR(VLOOKUP($C274,Setup!$A$2:$B$60,2,FALSE),"N")="Y",$F274,0))</f>
      </c>
      <c r="I274" s="38">
        <f>IF($C274="",0,IF(IFERROR(VLOOKUP($C274,Setup!$A$2:$B$60,2,FALSE),"N")="Y",N($D274),0))</f>
      </c>
      <c r="J274" s="37">
        <f>IF($H274&gt;0,$I274/$H274,"")</f>
      </c>
    </row>
    <row r="275" spans="1:10" x14ac:dyDescent="0.25">
      <c r="A275" s="26">
        <v>46308</v>
      </c>
      <c r="B275" s="27" t="s">
        <v>34</v>
      </c>
      <c r="C275" s="28"/>
      <c r="D275" s="29"/>
      <c r="E275" s="29"/>
      <c r="F275" s="30">
        <f>IF($C275="","",IF($E275="",30,$E275)/60)</f>
      </c>
      <c r="G275" s="30">
        <f>IF($C275="","",(30-IF($E275="",30,$E275))/60)</f>
      </c>
      <c r="H275" s="30">
        <f>IF($C275="",0,IF(IFERROR(VLOOKUP($C275,Setup!$A$2:$B$60,2,FALSE),"N")="Y",$F275,0))</f>
      </c>
      <c r="I275" s="31">
        <f>IF($C275="",0,IF(IFERROR(VLOOKUP($C275,Setup!$A$2:$B$60,2,FALSE),"N")="Y",N($D275),0))</f>
      </c>
      <c r="J275" s="30">
        <f>IF($H275&gt;0,$I275/$H275,"")</f>
      </c>
    </row>
    <row r="276" spans="1:10" x14ac:dyDescent="0.25">
      <c r="A276" s="33">
        <v>46308</v>
      </c>
      <c r="B276" s="34" t="s">
        <v>35</v>
      </c>
      <c r="C276" s="35"/>
      <c r="D276" s="36"/>
      <c r="E276" s="36"/>
      <c r="F276" s="37">
        <f>IF($C276="","",IF($E276="",30,$E276)/60)</f>
      </c>
      <c r="G276" s="37">
        <f>IF($C276="","",(30-IF($E276="",30,$E276))/60)</f>
      </c>
      <c r="H276" s="37">
        <f>IF($C276="",0,IF(IFERROR(VLOOKUP($C276,Setup!$A$2:$B$60,2,FALSE),"N")="Y",$F276,0))</f>
      </c>
      <c r="I276" s="38">
        <f>IF($C276="",0,IF(IFERROR(VLOOKUP($C276,Setup!$A$2:$B$60,2,FALSE),"N")="Y",N($D276),0))</f>
      </c>
      <c r="J276" s="37">
        <f>IF($H276&gt;0,$I276/$H276,"")</f>
      </c>
    </row>
    <row r="277" spans="1:10" x14ac:dyDescent="0.25">
      <c r="A277" s="26">
        <v>46308</v>
      </c>
      <c r="B277" s="27" t="s">
        <v>36</v>
      </c>
      <c r="C277" s="28"/>
      <c r="D277" s="29"/>
      <c r="E277" s="29"/>
      <c r="F277" s="30">
        <f>IF($C277="","",IF($E277="",30,$E277)/60)</f>
      </c>
      <c r="G277" s="30">
        <f>IF($C277="","",(30-IF($E277="",30,$E277))/60)</f>
      </c>
      <c r="H277" s="30">
        <f>IF($C277="",0,IF(IFERROR(VLOOKUP($C277,Setup!$A$2:$B$60,2,FALSE),"N")="Y",$F277,0))</f>
      </c>
      <c r="I277" s="31">
        <f>IF($C277="",0,IF(IFERROR(VLOOKUP($C277,Setup!$A$2:$B$60,2,FALSE),"N")="Y",N($D277),0))</f>
      </c>
      <c r="J277" s="30">
        <f>IF($H277&gt;0,$I277/$H277,"")</f>
      </c>
    </row>
    <row r="278" spans="1:10" x14ac:dyDescent="0.25">
      <c r="A278" s="33">
        <v>46308</v>
      </c>
      <c r="B278" s="34" t="s">
        <v>37</v>
      </c>
      <c r="C278" s="35"/>
      <c r="D278" s="36"/>
      <c r="E278" s="36"/>
      <c r="F278" s="37">
        <f>IF($C278="","",IF($E278="",30,$E278)/60)</f>
      </c>
      <c r="G278" s="37">
        <f>IF($C278="","",(30-IF($E278="",30,$E278))/60)</f>
      </c>
      <c r="H278" s="37">
        <f>IF($C278="",0,IF(IFERROR(VLOOKUP($C278,Setup!$A$2:$B$60,2,FALSE),"N")="Y",$F278,0))</f>
      </c>
      <c r="I278" s="38">
        <f>IF($C278="",0,IF(IFERROR(VLOOKUP($C278,Setup!$A$2:$B$60,2,FALSE),"N")="Y",N($D278),0))</f>
      </c>
      <c r="J278" s="37">
        <f>IF($H278&gt;0,$I278/$H278,"")</f>
      </c>
    </row>
    <row r="279" spans="1:10" x14ac:dyDescent="0.25">
      <c r="A279" s="26">
        <v>46308</v>
      </c>
      <c r="B279" s="27" t="s">
        <v>38</v>
      </c>
      <c r="C279" s="28"/>
      <c r="D279" s="29"/>
      <c r="E279" s="29"/>
      <c r="F279" s="30">
        <f>IF($C279="","",IF($E279="",30,$E279)/60)</f>
      </c>
      <c r="G279" s="30">
        <f>IF($C279="","",(30-IF($E279="",30,$E279))/60)</f>
      </c>
      <c r="H279" s="30">
        <f>IF($C279="",0,IF(IFERROR(VLOOKUP($C279,Setup!$A$2:$B$60,2,FALSE),"N")="Y",$F279,0))</f>
      </c>
      <c r="I279" s="31">
        <f>IF($C279="",0,IF(IFERROR(VLOOKUP($C279,Setup!$A$2:$B$60,2,FALSE),"N")="Y",N($D279),0))</f>
      </c>
      <c r="J279" s="30">
        <f>IF($H279&gt;0,$I279/$H279,"")</f>
      </c>
    </row>
    <row r="280" spans="1:10" x14ac:dyDescent="0.25">
      <c r="A280" s="33">
        <v>46308</v>
      </c>
      <c r="B280" s="34" t="s">
        <v>39</v>
      </c>
      <c r="C280" s="35"/>
      <c r="D280" s="36"/>
      <c r="E280" s="36"/>
      <c r="F280" s="37">
        <f>IF($C280="","",IF($E280="",30,$E280)/60)</f>
      </c>
      <c r="G280" s="37">
        <f>IF($C280="","",(30-IF($E280="",30,$E280))/60)</f>
      </c>
      <c r="H280" s="37">
        <f>IF($C280="",0,IF(IFERROR(VLOOKUP($C280,Setup!$A$2:$B$60,2,FALSE),"N")="Y",$F280,0))</f>
      </c>
      <c r="I280" s="38">
        <f>IF($C280="",0,IF(IFERROR(VLOOKUP($C280,Setup!$A$2:$B$60,2,FALSE),"N")="Y",N($D280),0))</f>
      </c>
      <c r="J280" s="37">
        <f>IF($H280&gt;0,$I280/$H280,"")</f>
      </c>
    </row>
    <row r="281" spans="1:10" x14ac:dyDescent="0.25">
      <c r="A281" s="26">
        <v>46308</v>
      </c>
      <c r="B281" s="27" t="s">
        <v>40</v>
      </c>
      <c r="C281" s="28"/>
      <c r="D281" s="29"/>
      <c r="E281" s="29"/>
      <c r="F281" s="30">
        <f>IF($C281="","",IF($E281="",30,$E281)/60)</f>
      </c>
      <c r="G281" s="30">
        <f>IF($C281="","",(30-IF($E281="",30,$E281))/60)</f>
      </c>
      <c r="H281" s="30">
        <f>IF($C281="",0,IF(IFERROR(VLOOKUP($C281,Setup!$A$2:$B$60,2,FALSE),"N")="Y",$F281,0))</f>
      </c>
      <c r="I281" s="31">
        <f>IF($C281="",0,IF(IFERROR(VLOOKUP($C281,Setup!$A$2:$B$60,2,FALSE),"N")="Y",N($D281),0))</f>
      </c>
      <c r="J281" s="30">
        <f>IF($H281&gt;0,$I281/$H281,"")</f>
      </c>
    </row>
    <row r="282" spans="1:10" x14ac:dyDescent="0.25">
      <c r="A282" s="33">
        <v>46308</v>
      </c>
      <c r="B282" s="34" t="s">
        <v>41</v>
      </c>
      <c r="C282" s="35"/>
      <c r="D282" s="36"/>
      <c r="E282" s="36"/>
      <c r="F282" s="37">
        <f>IF($C282="","",IF($E282="",30,$E282)/60)</f>
      </c>
      <c r="G282" s="37">
        <f>IF($C282="","",(30-IF($E282="",30,$E282))/60)</f>
      </c>
      <c r="H282" s="37">
        <f>IF($C282="",0,IF(IFERROR(VLOOKUP($C282,Setup!$A$2:$B$60,2,FALSE),"N")="Y",$F282,0))</f>
      </c>
      <c r="I282" s="38">
        <f>IF($C282="",0,IF(IFERROR(VLOOKUP($C282,Setup!$A$2:$B$60,2,FALSE),"N")="Y",N($D282),0))</f>
      </c>
      <c r="J282" s="37">
        <f>IF($H282&gt;0,$I282/$H282,"")</f>
      </c>
    </row>
    <row r="283" spans="1:10" x14ac:dyDescent="0.25">
      <c r="A283" s="26">
        <v>46308</v>
      </c>
      <c r="B283" s="27" t="s">
        <v>42</v>
      </c>
      <c r="C283" s="28"/>
      <c r="D283" s="29"/>
      <c r="E283" s="29"/>
      <c r="F283" s="30">
        <f>IF($C283="","",IF($E283="",30,$E283)/60)</f>
      </c>
      <c r="G283" s="30">
        <f>IF($C283="","",(30-IF($E283="",30,$E283))/60)</f>
      </c>
      <c r="H283" s="30">
        <f>IF($C283="",0,IF(IFERROR(VLOOKUP($C283,Setup!$A$2:$B$60,2,FALSE),"N")="Y",$F283,0))</f>
      </c>
      <c r="I283" s="31">
        <f>IF($C283="",0,IF(IFERROR(VLOOKUP($C283,Setup!$A$2:$B$60,2,FALSE),"N")="Y",N($D283),0))</f>
      </c>
      <c r="J283" s="30">
        <f>IF($H283&gt;0,$I283/$H283,"")</f>
      </c>
    </row>
    <row r="284" spans="1:10" x14ac:dyDescent="0.25">
      <c r="A284" s="33">
        <v>46308</v>
      </c>
      <c r="B284" s="34" t="s">
        <v>43</v>
      </c>
      <c r="C284" s="35"/>
      <c r="D284" s="36"/>
      <c r="E284" s="36"/>
      <c r="F284" s="37">
        <f>IF($C284="","",IF($E284="",30,$E284)/60)</f>
      </c>
      <c r="G284" s="37">
        <f>IF($C284="","",(30-IF($E284="",30,$E284))/60)</f>
      </c>
      <c r="H284" s="37">
        <f>IF($C284="",0,IF(IFERROR(VLOOKUP($C284,Setup!$A$2:$B$60,2,FALSE),"N")="Y",$F284,0))</f>
      </c>
      <c r="I284" s="38">
        <f>IF($C284="",0,IF(IFERROR(VLOOKUP($C284,Setup!$A$2:$B$60,2,FALSE),"N")="Y",N($D284),0))</f>
      </c>
      <c r="J284" s="37">
        <f>IF($H284&gt;0,$I284/$H284,"")</f>
      </c>
    </row>
    <row r="285" spans="2:10" x14ac:dyDescent="0.25">
      <c r="B285" s="39" t="s">
        <v>44</v>
      </c>
      <c r="C285" s="40"/>
      <c r="D285" s="41">
        <f>SUM(I267:I284)</f>
      </c>
      <c r="E285" s="40"/>
      <c r="F285" s="42">
        <f>SUM(F267:F284)</f>
      </c>
      <c r="G285" s="42">
        <f>SUM(G267:G284)</f>
      </c>
      <c r="H285" s="42">
        <f>SUM(H267:H284)</f>
      </c>
      <c r="I285" s="40"/>
      <c r="J285" s="42">
        <f>IF(H285&gt;0,D285/H285,"")</f>
      </c>
    </row>
    <row r="287" ht="26" customHeight="1" spans="2:10" x14ac:dyDescent="0.25">
      <c r="B287" s="21">
        <v>46309</v>
      </c>
      <c r="C287" s="21"/>
      <c r="D287" s="21"/>
      <c r="E287" s="22" t="s">
        <v>21</v>
      </c>
      <c r="F287" s="22"/>
      <c r="G287" s="22"/>
      <c r="H287" s="22"/>
      <c r="I287" s="22"/>
      <c r="J287" s="22"/>
    </row>
    <row r="288" ht="18" customHeight="1" spans="2:10" x14ac:dyDescent="0.25">
      <c r="B288" s="23" t="s">
        <v>22</v>
      </c>
      <c r="C288" s="23" t="s">
        <v>19</v>
      </c>
      <c r="D288" s="24" t="s">
        <v>4</v>
      </c>
      <c r="E288" s="24" t="s">
        <v>23</v>
      </c>
      <c r="F288" s="25" t="s">
        <v>13</v>
      </c>
      <c r="G288" s="25" t="s">
        <v>24</v>
      </c>
      <c r="H288" s="25" t="s">
        <v>25</v>
      </c>
      <c r="I288" s="25" t="s">
        <v>4</v>
      </c>
      <c r="J288" s="25" t="s">
        <v>14</v>
      </c>
    </row>
    <row r="289" spans="1:11" x14ac:dyDescent="0.25">
      <c r="A289" s="26">
        <v>46309</v>
      </c>
      <c r="B289" s="27" t="s">
        <v>26</v>
      </c>
      <c r="C289" s="28"/>
      <c r="D289" s="29"/>
      <c r="E289" s="29"/>
      <c r="F289" s="30">
        <f>IF($C289="","",IF($E289="",30,$E289)/60)</f>
      </c>
      <c r="G289" s="30">
        <f>IF($C289="","",(30-IF($E289="",30,$E289))/60)</f>
      </c>
      <c r="H289" s="30">
        <f>IF($C289="",0,IF(IFERROR(VLOOKUP($C289,Setup!$A$2:$B$60,2,FALSE),"N")="Y",$F289,0))</f>
      </c>
      <c r="I289" s="31">
        <f>IF($C289="",0,IF(IFERROR(VLOOKUP($C289,Setup!$A$2:$B$60,2,FALSE),"N")="Y",N($D289),0))</f>
      </c>
      <c r="J289" s="30">
        <f>IF($H289&gt;0,$I289/$H289,"")</f>
      </c>
      <c r="K289" s="32">
        <f>IF($F307&gt;0,9,0)</f>
      </c>
    </row>
    <row r="290" spans="1:10" x14ac:dyDescent="0.25">
      <c r="A290" s="33">
        <v>46309</v>
      </c>
      <c r="B290" s="34" t="s">
        <v>27</v>
      </c>
      <c r="C290" s="35"/>
      <c r="D290" s="36"/>
      <c r="E290" s="36"/>
      <c r="F290" s="37">
        <f>IF($C290="","",IF($E290="",30,$E290)/60)</f>
      </c>
      <c r="G290" s="37">
        <f>IF($C290="","",(30-IF($E290="",30,$E290))/60)</f>
      </c>
      <c r="H290" s="37">
        <f>IF($C290="",0,IF(IFERROR(VLOOKUP($C290,Setup!$A$2:$B$60,2,FALSE),"N")="Y",$F290,0))</f>
      </c>
      <c r="I290" s="38">
        <f>IF($C290="",0,IF(IFERROR(VLOOKUP($C290,Setup!$A$2:$B$60,2,FALSE),"N")="Y",N($D290),0))</f>
      </c>
      <c r="J290" s="37">
        <f>IF($H290&gt;0,$I290/$H290,"")</f>
      </c>
    </row>
    <row r="291" spans="1:10" x14ac:dyDescent="0.25">
      <c r="A291" s="26">
        <v>46309</v>
      </c>
      <c r="B291" s="27" t="s">
        <v>28</v>
      </c>
      <c r="C291" s="28"/>
      <c r="D291" s="29"/>
      <c r="E291" s="29"/>
      <c r="F291" s="30">
        <f>IF($C291="","",IF($E291="",30,$E291)/60)</f>
      </c>
      <c r="G291" s="30">
        <f>IF($C291="","",(30-IF($E291="",30,$E291))/60)</f>
      </c>
      <c r="H291" s="30">
        <f>IF($C291="",0,IF(IFERROR(VLOOKUP($C291,Setup!$A$2:$B$60,2,FALSE),"N")="Y",$F291,0))</f>
      </c>
      <c r="I291" s="31">
        <f>IF($C291="",0,IF(IFERROR(VLOOKUP($C291,Setup!$A$2:$B$60,2,FALSE),"N")="Y",N($D291),0))</f>
      </c>
      <c r="J291" s="30">
        <f>IF($H291&gt;0,$I291/$H291,"")</f>
      </c>
    </row>
    <row r="292" spans="1:10" x14ac:dyDescent="0.25">
      <c r="A292" s="33">
        <v>46309</v>
      </c>
      <c r="B292" s="34" t="s">
        <v>29</v>
      </c>
      <c r="C292" s="35"/>
      <c r="D292" s="36"/>
      <c r="E292" s="36"/>
      <c r="F292" s="37">
        <f>IF($C292="","",IF($E292="",30,$E292)/60)</f>
      </c>
      <c r="G292" s="37">
        <f>IF($C292="","",(30-IF($E292="",30,$E292))/60)</f>
      </c>
      <c r="H292" s="37">
        <f>IF($C292="",0,IF(IFERROR(VLOOKUP($C292,Setup!$A$2:$B$60,2,FALSE),"N")="Y",$F292,0))</f>
      </c>
      <c r="I292" s="38">
        <f>IF($C292="",0,IF(IFERROR(VLOOKUP($C292,Setup!$A$2:$B$60,2,FALSE),"N")="Y",N($D292),0))</f>
      </c>
      <c r="J292" s="37">
        <f>IF($H292&gt;0,$I292/$H292,"")</f>
      </c>
    </row>
    <row r="293" spans="1:10" x14ac:dyDescent="0.25">
      <c r="A293" s="26">
        <v>46309</v>
      </c>
      <c r="B293" s="27" t="s">
        <v>30</v>
      </c>
      <c r="C293" s="28"/>
      <c r="D293" s="29"/>
      <c r="E293" s="29"/>
      <c r="F293" s="30">
        <f>IF($C293="","",IF($E293="",30,$E293)/60)</f>
      </c>
      <c r="G293" s="30">
        <f>IF($C293="","",(30-IF($E293="",30,$E293))/60)</f>
      </c>
      <c r="H293" s="30">
        <f>IF($C293="",0,IF(IFERROR(VLOOKUP($C293,Setup!$A$2:$B$60,2,FALSE),"N")="Y",$F293,0))</f>
      </c>
      <c r="I293" s="31">
        <f>IF($C293="",0,IF(IFERROR(VLOOKUP($C293,Setup!$A$2:$B$60,2,FALSE),"N")="Y",N($D293),0))</f>
      </c>
      <c r="J293" s="30">
        <f>IF($H293&gt;0,$I293/$H293,"")</f>
      </c>
    </row>
    <row r="294" spans="1:10" x14ac:dyDescent="0.25">
      <c r="A294" s="33">
        <v>46309</v>
      </c>
      <c r="B294" s="34" t="s">
        <v>31</v>
      </c>
      <c r="C294" s="35"/>
      <c r="D294" s="36"/>
      <c r="E294" s="36"/>
      <c r="F294" s="37">
        <f>IF($C294="","",IF($E294="",30,$E294)/60)</f>
      </c>
      <c r="G294" s="37">
        <f>IF($C294="","",(30-IF($E294="",30,$E294))/60)</f>
      </c>
      <c r="H294" s="37">
        <f>IF($C294="",0,IF(IFERROR(VLOOKUP($C294,Setup!$A$2:$B$60,2,FALSE),"N")="Y",$F294,0))</f>
      </c>
      <c r="I294" s="38">
        <f>IF($C294="",0,IF(IFERROR(VLOOKUP($C294,Setup!$A$2:$B$60,2,FALSE),"N")="Y",N($D294),0))</f>
      </c>
      <c r="J294" s="37">
        <f>IF($H294&gt;0,$I294/$H294,"")</f>
      </c>
    </row>
    <row r="295" spans="1:10" x14ac:dyDescent="0.25">
      <c r="A295" s="26">
        <v>46309</v>
      </c>
      <c r="B295" s="27" t="s">
        <v>32</v>
      </c>
      <c r="C295" s="28"/>
      <c r="D295" s="29"/>
      <c r="E295" s="29"/>
      <c r="F295" s="30">
        <f>IF($C295="","",IF($E295="",30,$E295)/60)</f>
      </c>
      <c r="G295" s="30">
        <f>IF($C295="","",(30-IF($E295="",30,$E295))/60)</f>
      </c>
      <c r="H295" s="30">
        <f>IF($C295="",0,IF(IFERROR(VLOOKUP($C295,Setup!$A$2:$B$60,2,FALSE),"N")="Y",$F295,0))</f>
      </c>
      <c r="I295" s="31">
        <f>IF($C295="",0,IF(IFERROR(VLOOKUP($C295,Setup!$A$2:$B$60,2,FALSE),"N")="Y",N($D295),0))</f>
      </c>
      <c r="J295" s="30">
        <f>IF($H295&gt;0,$I295/$H295,"")</f>
      </c>
    </row>
    <row r="296" spans="1:10" x14ac:dyDescent="0.25">
      <c r="A296" s="33">
        <v>46309</v>
      </c>
      <c r="B296" s="34" t="s">
        <v>33</v>
      </c>
      <c r="C296" s="35"/>
      <c r="D296" s="36"/>
      <c r="E296" s="36"/>
      <c r="F296" s="37">
        <f>IF($C296="","",IF($E296="",30,$E296)/60)</f>
      </c>
      <c r="G296" s="37">
        <f>IF($C296="","",(30-IF($E296="",30,$E296))/60)</f>
      </c>
      <c r="H296" s="37">
        <f>IF($C296="",0,IF(IFERROR(VLOOKUP($C296,Setup!$A$2:$B$60,2,FALSE),"N")="Y",$F296,0))</f>
      </c>
      <c r="I296" s="38">
        <f>IF($C296="",0,IF(IFERROR(VLOOKUP($C296,Setup!$A$2:$B$60,2,FALSE),"N")="Y",N($D296),0))</f>
      </c>
      <c r="J296" s="37">
        <f>IF($H296&gt;0,$I296/$H296,"")</f>
      </c>
    </row>
    <row r="297" spans="1:10" x14ac:dyDescent="0.25">
      <c r="A297" s="26">
        <v>46309</v>
      </c>
      <c r="B297" s="27" t="s">
        <v>34</v>
      </c>
      <c r="C297" s="28"/>
      <c r="D297" s="29"/>
      <c r="E297" s="29"/>
      <c r="F297" s="30">
        <f>IF($C297="","",IF($E297="",30,$E297)/60)</f>
      </c>
      <c r="G297" s="30">
        <f>IF($C297="","",(30-IF($E297="",30,$E297))/60)</f>
      </c>
      <c r="H297" s="30">
        <f>IF($C297="",0,IF(IFERROR(VLOOKUP($C297,Setup!$A$2:$B$60,2,FALSE),"N")="Y",$F297,0))</f>
      </c>
      <c r="I297" s="31">
        <f>IF($C297="",0,IF(IFERROR(VLOOKUP($C297,Setup!$A$2:$B$60,2,FALSE),"N")="Y",N($D297),0))</f>
      </c>
      <c r="J297" s="30">
        <f>IF($H297&gt;0,$I297/$H297,"")</f>
      </c>
    </row>
    <row r="298" spans="1:10" x14ac:dyDescent="0.25">
      <c r="A298" s="33">
        <v>46309</v>
      </c>
      <c r="B298" s="34" t="s">
        <v>35</v>
      </c>
      <c r="C298" s="35"/>
      <c r="D298" s="36"/>
      <c r="E298" s="36"/>
      <c r="F298" s="37">
        <f>IF($C298="","",IF($E298="",30,$E298)/60)</f>
      </c>
      <c r="G298" s="37">
        <f>IF($C298="","",(30-IF($E298="",30,$E298))/60)</f>
      </c>
      <c r="H298" s="37">
        <f>IF($C298="",0,IF(IFERROR(VLOOKUP($C298,Setup!$A$2:$B$60,2,FALSE),"N")="Y",$F298,0))</f>
      </c>
      <c r="I298" s="38">
        <f>IF($C298="",0,IF(IFERROR(VLOOKUP($C298,Setup!$A$2:$B$60,2,FALSE),"N")="Y",N($D298),0))</f>
      </c>
      <c r="J298" s="37">
        <f>IF($H298&gt;0,$I298/$H298,"")</f>
      </c>
    </row>
    <row r="299" spans="1:10" x14ac:dyDescent="0.25">
      <c r="A299" s="26">
        <v>46309</v>
      </c>
      <c r="B299" s="27" t="s">
        <v>36</v>
      </c>
      <c r="C299" s="28"/>
      <c r="D299" s="29"/>
      <c r="E299" s="29"/>
      <c r="F299" s="30">
        <f>IF($C299="","",IF($E299="",30,$E299)/60)</f>
      </c>
      <c r="G299" s="30">
        <f>IF($C299="","",(30-IF($E299="",30,$E299))/60)</f>
      </c>
      <c r="H299" s="30">
        <f>IF($C299="",0,IF(IFERROR(VLOOKUP($C299,Setup!$A$2:$B$60,2,FALSE),"N")="Y",$F299,0))</f>
      </c>
      <c r="I299" s="31">
        <f>IF($C299="",0,IF(IFERROR(VLOOKUP($C299,Setup!$A$2:$B$60,2,FALSE),"N")="Y",N($D299),0))</f>
      </c>
      <c r="J299" s="30">
        <f>IF($H299&gt;0,$I299/$H299,"")</f>
      </c>
    </row>
    <row r="300" spans="1:10" x14ac:dyDescent="0.25">
      <c r="A300" s="33">
        <v>46309</v>
      </c>
      <c r="B300" s="34" t="s">
        <v>37</v>
      </c>
      <c r="C300" s="35"/>
      <c r="D300" s="36"/>
      <c r="E300" s="36"/>
      <c r="F300" s="37">
        <f>IF($C300="","",IF($E300="",30,$E300)/60)</f>
      </c>
      <c r="G300" s="37">
        <f>IF($C300="","",(30-IF($E300="",30,$E300))/60)</f>
      </c>
      <c r="H300" s="37">
        <f>IF($C300="",0,IF(IFERROR(VLOOKUP($C300,Setup!$A$2:$B$60,2,FALSE),"N")="Y",$F300,0))</f>
      </c>
      <c r="I300" s="38">
        <f>IF($C300="",0,IF(IFERROR(VLOOKUP($C300,Setup!$A$2:$B$60,2,FALSE),"N")="Y",N($D300),0))</f>
      </c>
      <c r="J300" s="37">
        <f>IF($H300&gt;0,$I300/$H300,"")</f>
      </c>
    </row>
    <row r="301" spans="1:10" x14ac:dyDescent="0.25">
      <c r="A301" s="26">
        <v>46309</v>
      </c>
      <c r="B301" s="27" t="s">
        <v>38</v>
      </c>
      <c r="C301" s="28"/>
      <c r="D301" s="29"/>
      <c r="E301" s="29"/>
      <c r="F301" s="30">
        <f>IF($C301="","",IF($E301="",30,$E301)/60)</f>
      </c>
      <c r="G301" s="30">
        <f>IF($C301="","",(30-IF($E301="",30,$E301))/60)</f>
      </c>
      <c r="H301" s="30">
        <f>IF($C301="",0,IF(IFERROR(VLOOKUP($C301,Setup!$A$2:$B$60,2,FALSE),"N")="Y",$F301,0))</f>
      </c>
      <c r="I301" s="31">
        <f>IF($C301="",0,IF(IFERROR(VLOOKUP($C301,Setup!$A$2:$B$60,2,FALSE),"N")="Y",N($D301),0))</f>
      </c>
      <c r="J301" s="30">
        <f>IF($H301&gt;0,$I301/$H301,"")</f>
      </c>
    </row>
    <row r="302" spans="1:10" x14ac:dyDescent="0.25">
      <c r="A302" s="33">
        <v>46309</v>
      </c>
      <c r="B302" s="34" t="s">
        <v>39</v>
      </c>
      <c r="C302" s="35"/>
      <c r="D302" s="36"/>
      <c r="E302" s="36"/>
      <c r="F302" s="37">
        <f>IF($C302="","",IF($E302="",30,$E302)/60)</f>
      </c>
      <c r="G302" s="37">
        <f>IF($C302="","",(30-IF($E302="",30,$E302))/60)</f>
      </c>
      <c r="H302" s="37">
        <f>IF($C302="",0,IF(IFERROR(VLOOKUP($C302,Setup!$A$2:$B$60,2,FALSE),"N")="Y",$F302,0))</f>
      </c>
      <c r="I302" s="38">
        <f>IF($C302="",0,IF(IFERROR(VLOOKUP($C302,Setup!$A$2:$B$60,2,FALSE),"N")="Y",N($D302),0))</f>
      </c>
      <c r="J302" s="37">
        <f>IF($H302&gt;0,$I302/$H302,"")</f>
      </c>
    </row>
    <row r="303" spans="1:10" x14ac:dyDescent="0.25">
      <c r="A303" s="26">
        <v>46309</v>
      </c>
      <c r="B303" s="27" t="s">
        <v>40</v>
      </c>
      <c r="C303" s="28"/>
      <c r="D303" s="29"/>
      <c r="E303" s="29"/>
      <c r="F303" s="30">
        <f>IF($C303="","",IF($E303="",30,$E303)/60)</f>
      </c>
      <c r="G303" s="30">
        <f>IF($C303="","",(30-IF($E303="",30,$E303))/60)</f>
      </c>
      <c r="H303" s="30">
        <f>IF($C303="",0,IF(IFERROR(VLOOKUP($C303,Setup!$A$2:$B$60,2,FALSE),"N")="Y",$F303,0))</f>
      </c>
      <c r="I303" s="31">
        <f>IF($C303="",0,IF(IFERROR(VLOOKUP($C303,Setup!$A$2:$B$60,2,FALSE),"N")="Y",N($D303),0))</f>
      </c>
      <c r="J303" s="30">
        <f>IF($H303&gt;0,$I303/$H303,"")</f>
      </c>
    </row>
    <row r="304" spans="1:10" x14ac:dyDescent="0.25">
      <c r="A304" s="33">
        <v>46309</v>
      </c>
      <c r="B304" s="34" t="s">
        <v>41</v>
      </c>
      <c r="C304" s="35"/>
      <c r="D304" s="36"/>
      <c r="E304" s="36"/>
      <c r="F304" s="37">
        <f>IF($C304="","",IF($E304="",30,$E304)/60)</f>
      </c>
      <c r="G304" s="37">
        <f>IF($C304="","",(30-IF($E304="",30,$E304))/60)</f>
      </c>
      <c r="H304" s="37">
        <f>IF($C304="",0,IF(IFERROR(VLOOKUP($C304,Setup!$A$2:$B$60,2,FALSE),"N")="Y",$F304,0))</f>
      </c>
      <c r="I304" s="38">
        <f>IF($C304="",0,IF(IFERROR(VLOOKUP($C304,Setup!$A$2:$B$60,2,FALSE),"N")="Y",N($D304),0))</f>
      </c>
      <c r="J304" s="37">
        <f>IF($H304&gt;0,$I304/$H304,"")</f>
      </c>
    </row>
    <row r="305" spans="1:10" x14ac:dyDescent="0.25">
      <c r="A305" s="26">
        <v>46309</v>
      </c>
      <c r="B305" s="27" t="s">
        <v>42</v>
      </c>
      <c r="C305" s="28"/>
      <c r="D305" s="29"/>
      <c r="E305" s="29"/>
      <c r="F305" s="30">
        <f>IF($C305="","",IF($E305="",30,$E305)/60)</f>
      </c>
      <c r="G305" s="30">
        <f>IF($C305="","",(30-IF($E305="",30,$E305))/60)</f>
      </c>
      <c r="H305" s="30">
        <f>IF($C305="",0,IF(IFERROR(VLOOKUP($C305,Setup!$A$2:$B$60,2,FALSE),"N")="Y",$F305,0))</f>
      </c>
      <c r="I305" s="31">
        <f>IF($C305="",0,IF(IFERROR(VLOOKUP($C305,Setup!$A$2:$B$60,2,FALSE),"N")="Y",N($D305),0))</f>
      </c>
      <c r="J305" s="30">
        <f>IF($H305&gt;0,$I305/$H305,"")</f>
      </c>
    </row>
    <row r="306" spans="1:10" x14ac:dyDescent="0.25">
      <c r="A306" s="33">
        <v>46309</v>
      </c>
      <c r="B306" s="34" t="s">
        <v>43</v>
      </c>
      <c r="C306" s="35"/>
      <c r="D306" s="36"/>
      <c r="E306" s="36"/>
      <c r="F306" s="37">
        <f>IF($C306="","",IF($E306="",30,$E306)/60)</f>
      </c>
      <c r="G306" s="37">
        <f>IF($C306="","",(30-IF($E306="",30,$E306))/60)</f>
      </c>
      <c r="H306" s="37">
        <f>IF($C306="",0,IF(IFERROR(VLOOKUP($C306,Setup!$A$2:$B$60,2,FALSE),"N")="Y",$F306,0))</f>
      </c>
      <c r="I306" s="38">
        <f>IF($C306="",0,IF(IFERROR(VLOOKUP($C306,Setup!$A$2:$B$60,2,FALSE),"N")="Y",N($D306),0))</f>
      </c>
      <c r="J306" s="37">
        <f>IF($H306&gt;0,$I306/$H306,"")</f>
      </c>
    </row>
    <row r="307" spans="2:10" x14ac:dyDescent="0.25">
      <c r="B307" s="39" t="s">
        <v>44</v>
      </c>
      <c r="C307" s="40"/>
      <c r="D307" s="41">
        <f>SUM(I289:I306)</f>
      </c>
      <c r="E307" s="40"/>
      <c r="F307" s="42">
        <f>SUM(F289:F306)</f>
      </c>
      <c r="G307" s="42">
        <f>SUM(G289:G306)</f>
      </c>
      <c r="H307" s="42">
        <f>SUM(H289:H306)</f>
      </c>
      <c r="I307" s="40"/>
      <c r="J307" s="42">
        <f>IF(H307&gt;0,D307/H307,"")</f>
      </c>
    </row>
    <row r="309" ht="26" customHeight="1" spans="2:10" x14ac:dyDescent="0.25">
      <c r="B309" s="21">
        <v>46310</v>
      </c>
      <c r="C309" s="21"/>
      <c r="D309" s="21"/>
      <c r="E309" s="22" t="s">
        <v>21</v>
      </c>
      <c r="F309" s="22"/>
      <c r="G309" s="22"/>
      <c r="H309" s="22"/>
      <c r="I309" s="22"/>
      <c r="J309" s="22"/>
    </row>
    <row r="310" ht="18" customHeight="1" spans="2:10" x14ac:dyDescent="0.25">
      <c r="B310" s="23" t="s">
        <v>22</v>
      </c>
      <c r="C310" s="23" t="s">
        <v>19</v>
      </c>
      <c r="D310" s="24" t="s">
        <v>4</v>
      </c>
      <c r="E310" s="24" t="s">
        <v>23</v>
      </c>
      <c r="F310" s="25" t="s">
        <v>13</v>
      </c>
      <c r="G310" s="25" t="s">
        <v>24</v>
      </c>
      <c r="H310" s="25" t="s">
        <v>25</v>
      </c>
      <c r="I310" s="25" t="s">
        <v>4</v>
      </c>
      <c r="J310" s="25" t="s">
        <v>14</v>
      </c>
    </row>
    <row r="311" spans="1:11" x14ac:dyDescent="0.25">
      <c r="A311" s="26">
        <v>46310</v>
      </c>
      <c r="B311" s="27" t="s">
        <v>26</v>
      </c>
      <c r="C311" s="28"/>
      <c r="D311" s="29"/>
      <c r="E311" s="29"/>
      <c r="F311" s="30">
        <f>IF($C311="","",IF($E311="",30,$E311)/60)</f>
      </c>
      <c r="G311" s="30">
        <f>IF($C311="","",(30-IF($E311="",30,$E311))/60)</f>
      </c>
      <c r="H311" s="30">
        <f>IF($C311="",0,IF(IFERROR(VLOOKUP($C311,Setup!$A$2:$B$60,2,FALSE),"N")="Y",$F311,0))</f>
      </c>
      <c r="I311" s="31">
        <f>IF($C311="",0,IF(IFERROR(VLOOKUP($C311,Setup!$A$2:$B$60,2,FALSE),"N")="Y",N($D311),0))</f>
      </c>
      <c r="J311" s="30">
        <f>IF($H311&gt;0,$I311/$H311,"")</f>
      </c>
      <c r="K311" s="32">
        <f>IF($F329&gt;0,9,0)</f>
      </c>
    </row>
    <row r="312" spans="1:10" x14ac:dyDescent="0.25">
      <c r="A312" s="33">
        <v>46310</v>
      </c>
      <c r="B312" s="34" t="s">
        <v>27</v>
      </c>
      <c r="C312" s="35"/>
      <c r="D312" s="36"/>
      <c r="E312" s="36"/>
      <c r="F312" s="37">
        <f>IF($C312="","",IF($E312="",30,$E312)/60)</f>
      </c>
      <c r="G312" s="37">
        <f>IF($C312="","",(30-IF($E312="",30,$E312))/60)</f>
      </c>
      <c r="H312" s="37">
        <f>IF($C312="",0,IF(IFERROR(VLOOKUP($C312,Setup!$A$2:$B$60,2,FALSE),"N")="Y",$F312,0))</f>
      </c>
      <c r="I312" s="38">
        <f>IF($C312="",0,IF(IFERROR(VLOOKUP($C312,Setup!$A$2:$B$60,2,FALSE),"N")="Y",N($D312),0))</f>
      </c>
      <c r="J312" s="37">
        <f>IF($H312&gt;0,$I312/$H312,"")</f>
      </c>
    </row>
    <row r="313" spans="1:10" x14ac:dyDescent="0.25">
      <c r="A313" s="26">
        <v>46310</v>
      </c>
      <c r="B313" s="27" t="s">
        <v>28</v>
      </c>
      <c r="C313" s="28"/>
      <c r="D313" s="29"/>
      <c r="E313" s="29"/>
      <c r="F313" s="30">
        <f>IF($C313="","",IF($E313="",30,$E313)/60)</f>
      </c>
      <c r="G313" s="30">
        <f>IF($C313="","",(30-IF($E313="",30,$E313))/60)</f>
      </c>
      <c r="H313" s="30">
        <f>IF($C313="",0,IF(IFERROR(VLOOKUP($C313,Setup!$A$2:$B$60,2,FALSE),"N")="Y",$F313,0))</f>
      </c>
      <c r="I313" s="31">
        <f>IF($C313="",0,IF(IFERROR(VLOOKUP($C313,Setup!$A$2:$B$60,2,FALSE),"N")="Y",N($D313),0))</f>
      </c>
      <c r="J313" s="30">
        <f>IF($H313&gt;0,$I313/$H313,"")</f>
      </c>
    </row>
    <row r="314" spans="1:10" x14ac:dyDescent="0.25">
      <c r="A314" s="33">
        <v>46310</v>
      </c>
      <c r="B314" s="34" t="s">
        <v>29</v>
      </c>
      <c r="C314" s="35"/>
      <c r="D314" s="36"/>
      <c r="E314" s="36"/>
      <c r="F314" s="37">
        <f>IF($C314="","",IF($E314="",30,$E314)/60)</f>
      </c>
      <c r="G314" s="37">
        <f>IF($C314="","",(30-IF($E314="",30,$E314))/60)</f>
      </c>
      <c r="H314" s="37">
        <f>IF($C314="",0,IF(IFERROR(VLOOKUP($C314,Setup!$A$2:$B$60,2,FALSE),"N")="Y",$F314,0))</f>
      </c>
      <c r="I314" s="38">
        <f>IF($C314="",0,IF(IFERROR(VLOOKUP($C314,Setup!$A$2:$B$60,2,FALSE),"N")="Y",N($D314),0))</f>
      </c>
      <c r="J314" s="37">
        <f>IF($H314&gt;0,$I314/$H314,"")</f>
      </c>
    </row>
    <row r="315" spans="1:10" x14ac:dyDescent="0.25">
      <c r="A315" s="26">
        <v>46310</v>
      </c>
      <c r="B315" s="27" t="s">
        <v>30</v>
      </c>
      <c r="C315" s="28"/>
      <c r="D315" s="29"/>
      <c r="E315" s="29"/>
      <c r="F315" s="30">
        <f>IF($C315="","",IF($E315="",30,$E315)/60)</f>
      </c>
      <c r="G315" s="30">
        <f>IF($C315="","",(30-IF($E315="",30,$E315))/60)</f>
      </c>
      <c r="H315" s="30">
        <f>IF($C315="",0,IF(IFERROR(VLOOKUP($C315,Setup!$A$2:$B$60,2,FALSE),"N")="Y",$F315,0))</f>
      </c>
      <c r="I315" s="31">
        <f>IF($C315="",0,IF(IFERROR(VLOOKUP($C315,Setup!$A$2:$B$60,2,FALSE),"N")="Y",N($D315),0))</f>
      </c>
      <c r="J315" s="30">
        <f>IF($H315&gt;0,$I315/$H315,"")</f>
      </c>
    </row>
    <row r="316" spans="1:10" x14ac:dyDescent="0.25">
      <c r="A316" s="33">
        <v>46310</v>
      </c>
      <c r="B316" s="34" t="s">
        <v>31</v>
      </c>
      <c r="C316" s="35"/>
      <c r="D316" s="36"/>
      <c r="E316" s="36"/>
      <c r="F316" s="37">
        <f>IF($C316="","",IF($E316="",30,$E316)/60)</f>
      </c>
      <c r="G316" s="37">
        <f>IF($C316="","",(30-IF($E316="",30,$E316))/60)</f>
      </c>
      <c r="H316" s="37">
        <f>IF($C316="",0,IF(IFERROR(VLOOKUP($C316,Setup!$A$2:$B$60,2,FALSE),"N")="Y",$F316,0))</f>
      </c>
      <c r="I316" s="38">
        <f>IF($C316="",0,IF(IFERROR(VLOOKUP($C316,Setup!$A$2:$B$60,2,FALSE),"N")="Y",N($D316),0))</f>
      </c>
      <c r="J316" s="37">
        <f>IF($H316&gt;0,$I316/$H316,"")</f>
      </c>
    </row>
    <row r="317" spans="1:10" x14ac:dyDescent="0.25">
      <c r="A317" s="26">
        <v>46310</v>
      </c>
      <c r="B317" s="27" t="s">
        <v>32</v>
      </c>
      <c r="C317" s="28"/>
      <c r="D317" s="29"/>
      <c r="E317" s="29"/>
      <c r="F317" s="30">
        <f>IF($C317="","",IF($E317="",30,$E317)/60)</f>
      </c>
      <c r="G317" s="30">
        <f>IF($C317="","",(30-IF($E317="",30,$E317))/60)</f>
      </c>
      <c r="H317" s="30">
        <f>IF($C317="",0,IF(IFERROR(VLOOKUP($C317,Setup!$A$2:$B$60,2,FALSE),"N")="Y",$F317,0))</f>
      </c>
      <c r="I317" s="31">
        <f>IF($C317="",0,IF(IFERROR(VLOOKUP($C317,Setup!$A$2:$B$60,2,FALSE),"N")="Y",N($D317),0))</f>
      </c>
      <c r="J317" s="30">
        <f>IF($H317&gt;0,$I317/$H317,"")</f>
      </c>
    </row>
    <row r="318" spans="1:10" x14ac:dyDescent="0.25">
      <c r="A318" s="33">
        <v>46310</v>
      </c>
      <c r="B318" s="34" t="s">
        <v>33</v>
      </c>
      <c r="C318" s="35"/>
      <c r="D318" s="36"/>
      <c r="E318" s="36"/>
      <c r="F318" s="37">
        <f>IF($C318="","",IF($E318="",30,$E318)/60)</f>
      </c>
      <c r="G318" s="37">
        <f>IF($C318="","",(30-IF($E318="",30,$E318))/60)</f>
      </c>
      <c r="H318" s="37">
        <f>IF($C318="",0,IF(IFERROR(VLOOKUP($C318,Setup!$A$2:$B$60,2,FALSE),"N")="Y",$F318,0))</f>
      </c>
      <c r="I318" s="38">
        <f>IF($C318="",0,IF(IFERROR(VLOOKUP($C318,Setup!$A$2:$B$60,2,FALSE),"N")="Y",N($D318),0))</f>
      </c>
      <c r="J318" s="37">
        <f>IF($H318&gt;0,$I318/$H318,"")</f>
      </c>
    </row>
    <row r="319" spans="1:10" x14ac:dyDescent="0.25">
      <c r="A319" s="26">
        <v>46310</v>
      </c>
      <c r="B319" s="27" t="s">
        <v>34</v>
      </c>
      <c r="C319" s="28"/>
      <c r="D319" s="29"/>
      <c r="E319" s="29"/>
      <c r="F319" s="30">
        <f>IF($C319="","",IF($E319="",30,$E319)/60)</f>
      </c>
      <c r="G319" s="30">
        <f>IF($C319="","",(30-IF($E319="",30,$E319))/60)</f>
      </c>
      <c r="H319" s="30">
        <f>IF($C319="",0,IF(IFERROR(VLOOKUP($C319,Setup!$A$2:$B$60,2,FALSE),"N")="Y",$F319,0))</f>
      </c>
      <c r="I319" s="31">
        <f>IF($C319="",0,IF(IFERROR(VLOOKUP($C319,Setup!$A$2:$B$60,2,FALSE),"N")="Y",N($D319),0))</f>
      </c>
      <c r="J319" s="30">
        <f>IF($H319&gt;0,$I319/$H319,"")</f>
      </c>
    </row>
    <row r="320" spans="1:10" x14ac:dyDescent="0.25">
      <c r="A320" s="33">
        <v>46310</v>
      </c>
      <c r="B320" s="34" t="s">
        <v>35</v>
      </c>
      <c r="C320" s="35"/>
      <c r="D320" s="36"/>
      <c r="E320" s="36"/>
      <c r="F320" s="37">
        <f>IF($C320="","",IF($E320="",30,$E320)/60)</f>
      </c>
      <c r="G320" s="37">
        <f>IF($C320="","",(30-IF($E320="",30,$E320))/60)</f>
      </c>
      <c r="H320" s="37">
        <f>IF($C320="",0,IF(IFERROR(VLOOKUP($C320,Setup!$A$2:$B$60,2,FALSE),"N")="Y",$F320,0))</f>
      </c>
      <c r="I320" s="38">
        <f>IF($C320="",0,IF(IFERROR(VLOOKUP($C320,Setup!$A$2:$B$60,2,FALSE),"N")="Y",N($D320),0))</f>
      </c>
      <c r="J320" s="37">
        <f>IF($H320&gt;0,$I320/$H320,"")</f>
      </c>
    </row>
    <row r="321" spans="1:10" x14ac:dyDescent="0.25">
      <c r="A321" s="26">
        <v>46310</v>
      </c>
      <c r="B321" s="27" t="s">
        <v>36</v>
      </c>
      <c r="C321" s="28"/>
      <c r="D321" s="29"/>
      <c r="E321" s="29"/>
      <c r="F321" s="30">
        <f>IF($C321="","",IF($E321="",30,$E321)/60)</f>
      </c>
      <c r="G321" s="30">
        <f>IF($C321="","",(30-IF($E321="",30,$E321))/60)</f>
      </c>
      <c r="H321" s="30">
        <f>IF($C321="",0,IF(IFERROR(VLOOKUP($C321,Setup!$A$2:$B$60,2,FALSE),"N")="Y",$F321,0))</f>
      </c>
      <c r="I321" s="31">
        <f>IF($C321="",0,IF(IFERROR(VLOOKUP($C321,Setup!$A$2:$B$60,2,FALSE),"N")="Y",N($D321),0))</f>
      </c>
      <c r="J321" s="30">
        <f>IF($H321&gt;0,$I321/$H321,"")</f>
      </c>
    </row>
    <row r="322" spans="1:10" x14ac:dyDescent="0.25">
      <c r="A322" s="33">
        <v>46310</v>
      </c>
      <c r="B322" s="34" t="s">
        <v>37</v>
      </c>
      <c r="C322" s="35"/>
      <c r="D322" s="36"/>
      <c r="E322" s="36"/>
      <c r="F322" s="37">
        <f>IF($C322="","",IF($E322="",30,$E322)/60)</f>
      </c>
      <c r="G322" s="37">
        <f>IF($C322="","",(30-IF($E322="",30,$E322))/60)</f>
      </c>
      <c r="H322" s="37">
        <f>IF($C322="",0,IF(IFERROR(VLOOKUP($C322,Setup!$A$2:$B$60,2,FALSE),"N")="Y",$F322,0))</f>
      </c>
      <c r="I322" s="38">
        <f>IF($C322="",0,IF(IFERROR(VLOOKUP($C322,Setup!$A$2:$B$60,2,FALSE),"N")="Y",N($D322),0))</f>
      </c>
      <c r="J322" s="37">
        <f>IF($H322&gt;0,$I322/$H322,"")</f>
      </c>
    </row>
    <row r="323" spans="1:10" x14ac:dyDescent="0.25">
      <c r="A323" s="26">
        <v>46310</v>
      </c>
      <c r="B323" s="27" t="s">
        <v>38</v>
      </c>
      <c r="C323" s="28"/>
      <c r="D323" s="29"/>
      <c r="E323" s="29"/>
      <c r="F323" s="30">
        <f>IF($C323="","",IF($E323="",30,$E323)/60)</f>
      </c>
      <c r="G323" s="30">
        <f>IF($C323="","",(30-IF($E323="",30,$E323))/60)</f>
      </c>
      <c r="H323" s="30">
        <f>IF($C323="",0,IF(IFERROR(VLOOKUP($C323,Setup!$A$2:$B$60,2,FALSE),"N")="Y",$F323,0))</f>
      </c>
      <c r="I323" s="31">
        <f>IF($C323="",0,IF(IFERROR(VLOOKUP($C323,Setup!$A$2:$B$60,2,FALSE),"N")="Y",N($D323),0))</f>
      </c>
      <c r="J323" s="30">
        <f>IF($H323&gt;0,$I323/$H323,"")</f>
      </c>
    </row>
    <row r="324" spans="1:10" x14ac:dyDescent="0.25">
      <c r="A324" s="33">
        <v>46310</v>
      </c>
      <c r="B324" s="34" t="s">
        <v>39</v>
      </c>
      <c r="C324" s="35"/>
      <c r="D324" s="36"/>
      <c r="E324" s="36"/>
      <c r="F324" s="37">
        <f>IF($C324="","",IF($E324="",30,$E324)/60)</f>
      </c>
      <c r="G324" s="37">
        <f>IF($C324="","",(30-IF($E324="",30,$E324))/60)</f>
      </c>
      <c r="H324" s="37">
        <f>IF($C324="",0,IF(IFERROR(VLOOKUP($C324,Setup!$A$2:$B$60,2,FALSE),"N")="Y",$F324,0))</f>
      </c>
      <c r="I324" s="38">
        <f>IF($C324="",0,IF(IFERROR(VLOOKUP($C324,Setup!$A$2:$B$60,2,FALSE),"N")="Y",N($D324),0))</f>
      </c>
      <c r="J324" s="37">
        <f>IF($H324&gt;0,$I324/$H324,"")</f>
      </c>
    </row>
    <row r="325" spans="1:10" x14ac:dyDescent="0.25">
      <c r="A325" s="26">
        <v>46310</v>
      </c>
      <c r="B325" s="27" t="s">
        <v>40</v>
      </c>
      <c r="C325" s="28"/>
      <c r="D325" s="29"/>
      <c r="E325" s="29"/>
      <c r="F325" s="30">
        <f>IF($C325="","",IF($E325="",30,$E325)/60)</f>
      </c>
      <c r="G325" s="30">
        <f>IF($C325="","",(30-IF($E325="",30,$E325))/60)</f>
      </c>
      <c r="H325" s="30">
        <f>IF($C325="",0,IF(IFERROR(VLOOKUP($C325,Setup!$A$2:$B$60,2,FALSE),"N")="Y",$F325,0))</f>
      </c>
      <c r="I325" s="31">
        <f>IF($C325="",0,IF(IFERROR(VLOOKUP($C325,Setup!$A$2:$B$60,2,FALSE),"N")="Y",N($D325),0))</f>
      </c>
      <c r="J325" s="30">
        <f>IF($H325&gt;0,$I325/$H325,"")</f>
      </c>
    </row>
    <row r="326" spans="1:10" x14ac:dyDescent="0.25">
      <c r="A326" s="33">
        <v>46310</v>
      </c>
      <c r="B326" s="34" t="s">
        <v>41</v>
      </c>
      <c r="C326" s="35"/>
      <c r="D326" s="36"/>
      <c r="E326" s="36"/>
      <c r="F326" s="37">
        <f>IF($C326="","",IF($E326="",30,$E326)/60)</f>
      </c>
      <c r="G326" s="37">
        <f>IF($C326="","",(30-IF($E326="",30,$E326))/60)</f>
      </c>
      <c r="H326" s="37">
        <f>IF($C326="",0,IF(IFERROR(VLOOKUP($C326,Setup!$A$2:$B$60,2,FALSE),"N")="Y",$F326,0))</f>
      </c>
      <c r="I326" s="38">
        <f>IF($C326="",0,IF(IFERROR(VLOOKUP($C326,Setup!$A$2:$B$60,2,FALSE),"N")="Y",N($D326),0))</f>
      </c>
      <c r="J326" s="37">
        <f>IF($H326&gt;0,$I326/$H326,"")</f>
      </c>
    </row>
    <row r="327" spans="1:10" x14ac:dyDescent="0.25">
      <c r="A327" s="26">
        <v>46310</v>
      </c>
      <c r="B327" s="27" t="s">
        <v>42</v>
      </c>
      <c r="C327" s="28"/>
      <c r="D327" s="29"/>
      <c r="E327" s="29"/>
      <c r="F327" s="30">
        <f>IF($C327="","",IF($E327="",30,$E327)/60)</f>
      </c>
      <c r="G327" s="30">
        <f>IF($C327="","",(30-IF($E327="",30,$E327))/60)</f>
      </c>
      <c r="H327" s="30">
        <f>IF($C327="",0,IF(IFERROR(VLOOKUP($C327,Setup!$A$2:$B$60,2,FALSE),"N")="Y",$F327,0))</f>
      </c>
      <c r="I327" s="31">
        <f>IF($C327="",0,IF(IFERROR(VLOOKUP($C327,Setup!$A$2:$B$60,2,FALSE),"N")="Y",N($D327),0))</f>
      </c>
      <c r="J327" s="30">
        <f>IF($H327&gt;0,$I327/$H327,"")</f>
      </c>
    </row>
    <row r="328" spans="1:10" x14ac:dyDescent="0.25">
      <c r="A328" s="33">
        <v>46310</v>
      </c>
      <c r="B328" s="34" t="s">
        <v>43</v>
      </c>
      <c r="C328" s="35"/>
      <c r="D328" s="36"/>
      <c r="E328" s="36"/>
      <c r="F328" s="37">
        <f>IF($C328="","",IF($E328="",30,$E328)/60)</f>
      </c>
      <c r="G328" s="37">
        <f>IF($C328="","",(30-IF($E328="",30,$E328))/60)</f>
      </c>
      <c r="H328" s="37">
        <f>IF($C328="",0,IF(IFERROR(VLOOKUP($C328,Setup!$A$2:$B$60,2,FALSE),"N")="Y",$F328,0))</f>
      </c>
      <c r="I328" s="38">
        <f>IF($C328="",0,IF(IFERROR(VLOOKUP($C328,Setup!$A$2:$B$60,2,FALSE),"N")="Y",N($D328),0))</f>
      </c>
      <c r="J328" s="37">
        <f>IF($H328&gt;0,$I328/$H328,"")</f>
      </c>
    </row>
    <row r="329" spans="2:10" x14ac:dyDescent="0.25">
      <c r="B329" s="39" t="s">
        <v>44</v>
      </c>
      <c r="C329" s="40"/>
      <c r="D329" s="41">
        <f>SUM(I311:I328)</f>
      </c>
      <c r="E329" s="40"/>
      <c r="F329" s="42">
        <f>SUM(F311:F328)</f>
      </c>
      <c r="G329" s="42">
        <f>SUM(G311:G328)</f>
      </c>
      <c r="H329" s="42">
        <f>SUM(H311:H328)</f>
      </c>
      <c r="I329" s="40"/>
      <c r="J329" s="42">
        <f>IF(H329&gt;0,D329/H329,"")</f>
      </c>
    </row>
    <row r="331" ht="26" customHeight="1" spans="2:10" x14ac:dyDescent="0.25">
      <c r="B331" s="21">
        <v>46311</v>
      </c>
      <c r="C331" s="21"/>
      <c r="D331" s="21"/>
      <c r="E331" s="22" t="s">
        <v>21</v>
      </c>
      <c r="F331" s="22"/>
      <c r="G331" s="22"/>
      <c r="H331" s="22"/>
      <c r="I331" s="22"/>
      <c r="J331" s="22"/>
    </row>
    <row r="332" ht="18" customHeight="1" spans="2:10" x14ac:dyDescent="0.25">
      <c r="B332" s="23" t="s">
        <v>22</v>
      </c>
      <c r="C332" s="23" t="s">
        <v>19</v>
      </c>
      <c r="D332" s="24" t="s">
        <v>4</v>
      </c>
      <c r="E332" s="24" t="s">
        <v>23</v>
      </c>
      <c r="F332" s="25" t="s">
        <v>13</v>
      </c>
      <c r="G332" s="25" t="s">
        <v>24</v>
      </c>
      <c r="H332" s="25" t="s">
        <v>25</v>
      </c>
      <c r="I332" s="25" t="s">
        <v>4</v>
      </c>
      <c r="J332" s="25" t="s">
        <v>14</v>
      </c>
    </row>
    <row r="333" spans="1:11" x14ac:dyDescent="0.25">
      <c r="A333" s="26">
        <v>46311</v>
      </c>
      <c r="B333" s="27" t="s">
        <v>26</v>
      </c>
      <c r="C333" s="28"/>
      <c r="D333" s="29"/>
      <c r="E333" s="29"/>
      <c r="F333" s="30">
        <f>IF($C333="","",IF($E333="",30,$E333)/60)</f>
      </c>
      <c r="G333" s="30">
        <f>IF($C333="","",(30-IF($E333="",30,$E333))/60)</f>
      </c>
      <c r="H333" s="30">
        <f>IF($C333="",0,IF(IFERROR(VLOOKUP($C333,Setup!$A$2:$B$60,2,FALSE),"N")="Y",$F333,0))</f>
      </c>
      <c r="I333" s="31">
        <f>IF($C333="",0,IF(IFERROR(VLOOKUP($C333,Setup!$A$2:$B$60,2,FALSE),"N")="Y",N($D333),0))</f>
      </c>
      <c r="J333" s="30">
        <f>IF($H333&gt;0,$I333/$H333,"")</f>
      </c>
      <c r="K333" s="32">
        <f>IF($F351&gt;0,9,0)</f>
      </c>
    </row>
    <row r="334" spans="1:10" x14ac:dyDescent="0.25">
      <c r="A334" s="33">
        <v>46311</v>
      </c>
      <c r="B334" s="34" t="s">
        <v>27</v>
      </c>
      <c r="C334" s="35"/>
      <c r="D334" s="36"/>
      <c r="E334" s="36"/>
      <c r="F334" s="37">
        <f>IF($C334="","",IF($E334="",30,$E334)/60)</f>
      </c>
      <c r="G334" s="37">
        <f>IF($C334="","",(30-IF($E334="",30,$E334))/60)</f>
      </c>
      <c r="H334" s="37">
        <f>IF($C334="",0,IF(IFERROR(VLOOKUP($C334,Setup!$A$2:$B$60,2,FALSE),"N")="Y",$F334,0))</f>
      </c>
      <c r="I334" s="38">
        <f>IF($C334="",0,IF(IFERROR(VLOOKUP($C334,Setup!$A$2:$B$60,2,FALSE),"N")="Y",N($D334),0))</f>
      </c>
      <c r="J334" s="37">
        <f>IF($H334&gt;0,$I334/$H334,"")</f>
      </c>
    </row>
    <row r="335" spans="1:10" x14ac:dyDescent="0.25">
      <c r="A335" s="26">
        <v>46311</v>
      </c>
      <c r="B335" s="27" t="s">
        <v>28</v>
      </c>
      <c r="C335" s="28"/>
      <c r="D335" s="29"/>
      <c r="E335" s="29"/>
      <c r="F335" s="30">
        <f>IF($C335="","",IF($E335="",30,$E335)/60)</f>
      </c>
      <c r="G335" s="30">
        <f>IF($C335="","",(30-IF($E335="",30,$E335))/60)</f>
      </c>
      <c r="H335" s="30">
        <f>IF($C335="",0,IF(IFERROR(VLOOKUP($C335,Setup!$A$2:$B$60,2,FALSE),"N")="Y",$F335,0))</f>
      </c>
      <c r="I335" s="31">
        <f>IF($C335="",0,IF(IFERROR(VLOOKUP($C335,Setup!$A$2:$B$60,2,FALSE),"N")="Y",N($D335),0))</f>
      </c>
      <c r="J335" s="30">
        <f>IF($H335&gt;0,$I335/$H335,"")</f>
      </c>
    </row>
    <row r="336" spans="1:10" x14ac:dyDescent="0.25">
      <c r="A336" s="33">
        <v>46311</v>
      </c>
      <c r="B336" s="34" t="s">
        <v>29</v>
      </c>
      <c r="C336" s="35"/>
      <c r="D336" s="36"/>
      <c r="E336" s="36"/>
      <c r="F336" s="37">
        <f>IF($C336="","",IF($E336="",30,$E336)/60)</f>
      </c>
      <c r="G336" s="37">
        <f>IF($C336="","",(30-IF($E336="",30,$E336))/60)</f>
      </c>
      <c r="H336" s="37">
        <f>IF($C336="",0,IF(IFERROR(VLOOKUP($C336,Setup!$A$2:$B$60,2,FALSE),"N")="Y",$F336,0))</f>
      </c>
      <c r="I336" s="38">
        <f>IF($C336="",0,IF(IFERROR(VLOOKUP($C336,Setup!$A$2:$B$60,2,FALSE),"N")="Y",N($D336),0))</f>
      </c>
      <c r="J336" s="37">
        <f>IF($H336&gt;0,$I336/$H336,"")</f>
      </c>
    </row>
    <row r="337" spans="1:10" x14ac:dyDescent="0.25">
      <c r="A337" s="26">
        <v>46311</v>
      </c>
      <c r="B337" s="27" t="s">
        <v>30</v>
      </c>
      <c r="C337" s="28"/>
      <c r="D337" s="29"/>
      <c r="E337" s="29"/>
      <c r="F337" s="30">
        <f>IF($C337="","",IF($E337="",30,$E337)/60)</f>
      </c>
      <c r="G337" s="30">
        <f>IF($C337="","",(30-IF($E337="",30,$E337))/60)</f>
      </c>
      <c r="H337" s="30">
        <f>IF($C337="",0,IF(IFERROR(VLOOKUP($C337,Setup!$A$2:$B$60,2,FALSE),"N")="Y",$F337,0))</f>
      </c>
      <c r="I337" s="31">
        <f>IF($C337="",0,IF(IFERROR(VLOOKUP($C337,Setup!$A$2:$B$60,2,FALSE),"N")="Y",N($D337),0))</f>
      </c>
      <c r="J337" s="30">
        <f>IF($H337&gt;0,$I337/$H337,"")</f>
      </c>
    </row>
    <row r="338" spans="1:10" x14ac:dyDescent="0.25">
      <c r="A338" s="33">
        <v>46311</v>
      </c>
      <c r="B338" s="34" t="s">
        <v>31</v>
      </c>
      <c r="C338" s="35"/>
      <c r="D338" s="36"/>
      <c r="E338" s="36"/>
      <c r="F338" s="37">
        <f>IF($C338="","",IF($E338="",30,$E338)/60)</f>
      </c>
      <c r="G338" s="37">
        <f>IF($C338="","",(30-IF($E338="",30,$E338))/60)</f>
      </c>
      <c r="H338" s="37">
        <f>IF($C338="",0,IF(IFERROR(VLOOKUP($C338,Setup!$A$2:$B$60,2,FALSE),"N")="Y",$F338,0))</f>
      </c>
      <c r="I338" s="38">
        <f>IF($C338="",0,IF(IFERROR(VLOOKUP($C338,Setup!$A$2:$B$60,2,FALSE),"N")="Y",N($D338),0))</f>
      </c>
      <c r="J338" s="37">
        <f>IF($H338&gt;0,$I338/$H338,"")</f>
      </c>
    </row>
    <row r="339" spans="1:10" x14ac:dyDescent="0.25">
      <c r="A339" s="26">
        <v>46311</v>
      </c>
      <c r="B339" s="27" t="s">
        <v>32</v>
      </c>
      <c r="C339" s="28"/>
      <c r="D339" s="29"/>
      <c r="E339" s="29"/>
      <c r="F339" s="30">
        <f>IF($C339="","",IF($E339="",30,$E339)/60)</f>
      </c>
      <c r="G339" s="30">
        <f>IF($C339="","",(30-IF($E339="",30,$E339))/60)</f>
      </c>
      <c r="H339" s="30">
        <f>IF($C339="",0,IF(IFERROR(VLOOKUP($C339,Setup!$A$2:$B$60,2,FALSE),"N")="Y",$F339,0))</f>
      </c>
      <c r="I339" s="31">
        <f>IF($C339="",0,IF(IFERROR(VLOOKUP($C339,Setup!$A$2:$B$60,2,FALSE),"N")="Y",N($D339),0))</f>
      </c>
      <c r="J339" s="30">
        <f>IF($H339&gt;0,$I339/$H339,"")</f>
      </c>
    </row>
    <row r="340" spans="1:10" x14ac:dyDescent="0.25">
      <c r="A340" s="33">
        <v>46311</v>
      </c>
      <c r="B340" s="34" t="s">
        <v>33</v>
      </c>
      <c r="C340" s="35"/>
      <c r="D340" s="36"/>
      <c r="E340" s="36"/>
      <c r="F340" s="37">
        <f>IF($C340="","",IF($E340="",30,$E340)/60)</f>
      </c>
      <c r="G340" s="37">
        <f>IF($C340="","",(30-IF($E340="",30,$E340))/60)</f>
      </c>
      <c r="H340" s="37">
        <f>IF($C340="",0,IF(IFERROR(VLOOKUP($C340,Setup!$A$2:$B$60,2,FALSE),"N")="Y",$F340,0))</f>
      </c>
      <c r="I340" s="38">
        <f>IF($C340="",0,IF(IFERROR(VLOOKUP($C340,Setup!$A$2:$B$60,2,FALSE),"N")="Y",N($D340),0))</f>
      </c>
      <c r="J340" s="37">
        <f>IF($H340&gt;0,$I340/$H340,"")</f>
      </c>
    </row>
    <row r="341" spans="1:10" x14ac:dyDescent="0.25">
      <c r="A341" s="26">
        <v>46311</v>
      </c>
      <c r="B341" s="27" t="s">
        <v>34</v>
      </c>
      <c r="C341" s="28"/>
      <c r="D341" s="29"/>
      <c r="E341" s="29"/>
      <c r="F341" s="30">
        <f>IF($C341="","",IF($E341="",30,$E341)/60)</f>
      </c>
      <c r="G341" s="30">
        <f>IF($C341="","",(30-IF($E341="",30,$E341))/60)</f>
      </c>
      <c r="H341" s="30">
        <f>IF($C341="",0,IF(IFERROR(VLOOKUP($C341,Setup!$A$2:$B$60,2,FALSE),"N")="Y",$F341,0))</f>
      </c>
      <c r="I341" s="31">
        <f>IF($C341="",0,IF(IFERROR(VLOOKUP($C341,Setup!$A$2:$B$60,2,FALSE),"N")="Y",N($D341),0))</f>
      </c>
      <c r="J341" s="30">
        <f>IF($H341&gt;0,$I341/$H341,"")</f>
      </c>
    </row>
    <row r="342" spans="1:10" x14ac:dyDescent="0.25">
      <c r="A342" s="33">
        <v>46311</v>
      </c>
      <c r="B342" s="34" t="s">
        <v>35</v>
      </c>
      <c r="C342" s="35"/>
      <c r="D342" s="36"/>
      <c r="E342" s="36"/>
      <c r="F342" s="37">
        <f>IF($C342="","",IF($E342="",30,$E342)/60)</f>
      </c>
      <c r="G342" s="37">
        <f>IF($C342="","",(30-IF($E342="",30,$E342))/60)</f>
      </c>
      <c r="H342" s="37">
        <f>IF($C342="",0,IF(IFERROR(VLOOKUP($C342,Setup!$A$2:$B$60,2,FALSE),"N")="Y",$F342,0))</f>
      </c>
      <c r="I342" s="38">
        <f>IF($C342="",0,IF(IFERROR(VLOOKUP($C342,Setup!$A$2:$B$60,2,FALSE),"N")="Y",N($D342),0))</f>
      </c>
      <c r="J342" s="37">
        <f>IF($H342&gt;0,$I342/$H342,"")</f>
      </c>
    </row>
    <row r="343" spans="1:10" x14ac:dyDescent="0.25">
      <c r="A343" s="26">
        <v>46311</v>
      </c>
      <c r="B343" s="27" t="s">
        <v>36</v>
      </c>
      <c r="C343" s="28"/>
      <c r="D343" s="29"/>
      <c r="E343" s="29"/>
      <c r="F343" s="30">
        <f>IF($C343="","",IF($E343="",30,$E343)/60)</f>
      </c>
      <c r="G343" s="30">
        <f>IF($C343="","",(30-IF($E343="",30,$E343))/60)</f>
      </c>
      <c r="H343" s="30">
        <f>IF($C343="",0,IF(IFERROR(VLOOKUP($C343,Setup!$A$2:$B$60,2,FALSE),"N")="Y",$F343,0))</f>
      </c>
      <c r="I343" s="31">
        <f>IF($C343="",0,IF(IFERROR(VLOOKUP($C343,Setup!$A$2:$B$60,2,FALSE),"N")="Y",N($D343),0))</f>
      </c>
      <c r="J343" s="30">
        <f>IF($H343&gt;0,$I343/$H343,"")</f>
      </c>
    </row>
    <row r="344" spans="1:10" x14ac:dyDescent="0.25">
      <c r="A344" s="33">
        <v>46311</v>
      </c>
      <c r="B344" s="34" t="s">
        <v>37</v>
      </c>
      <c r="C344" s="35"/>
      <c r="D344" s="36"/>
      <c r="E344" s="36"/>
      <c r="F344" s="37">
        <f>IF($C344="","",IF($E344="",30,$E344)/60)</f>
      </c>
      <c r="G344" s="37">
        <f>IF($C344="","",(30-IF($E344="",30,$E344))/60)</f>
      </c>
      <c r="H344" s="37">
        <f>IF($C344="",0,IF(IFERROR(VLOOKUP($C344,Setup!$A$2:$B$60,2,FALSE),"N")="Y",$F344,0))</f>
      </c>
      <c r="I344" s="38">
        <f>IF($C344="",0,IF(IFERROR(VLOOKUP($C344,Setup!$A$2:$B$60,2,FALSE),"N")="Y",N($D344),0))</f>
      </c>
      <c r="J344" s="37">
        <f>IF($H344&gt;0,$I344/$H344,"")</f>
      </c>
    </row>
    <row r="345" spans="1:10" x14ac:dyDescent="0.25">
      <c r="A345" s="26">
        <v>46311</v>
      </c>
      <c r="B345" s="27" t="s">
        <v>38</v>
      </c>
      <c r="C345" s="28"/>
      <c r="D345" s="29"/>
      <c r="E345" s="29"/>
      <c r="F345" s="30">
        <f>IF($C345="","",IF($E345="",30,$E345)/60)</f>
      </c>
      <c r="G345" s="30">
        <f>IF($C345="","",(30-IF($E345="",30,$E345))/60)</f>
      </c>
      <c r="H345" s="30">
        <f>IF($C345="",0,IF(IFERROR(VLOOKUP($C345,Setup!$A$2:$B$60,2,FALSE),"N")="Y",$F345,0))</f>
      </c>
      <c r="I345" s="31">
        <f>IF($C345="",0,IF(IFERROR(VLOOKUP($C345,Setup!$A$2:$B$60,2,FALSE),"N")="Y",N($D345),0))</f>
      </c>
      <c r="J345" s="30">
        <f>IF($H345&gt;0,$I345/$H345,"")</f>
      </c>
    </row>
    <row r="346" spans="1:10" x14ac:dyDescent="0.25">
      <c r="A346" s="33">
        <v>46311</v>
      </c>
      <c r="B346" s="34" t="s">
        <v>39</v>
      </c>
      <c r="C346" s="35"/>
      <c r="D346" s="36"/>
      <c r="E346" s="36"/>
      <c r="F346" s="37">
        <f>IF($C346="","",IF($E346="",30,$E346)/60)</f>
      </c>
      <c r="G346" s="37">
        <f>IF($C346="","",(30-IF($E346="",30,$E346))/60)</f>
      </c>
      <c r="H346" s="37">
        <f>IF($C346="",0,IF(IFERROR(VLOOKUP($C346,Setup!$A$2:$B$60,2,FALSE),"N")="Y",$F346,0))</f>
      </c>
      <c r="I346" s="38">
        <f>IF($C346="",0,IF(IFERROR(VLOOKUP($C346,Setup!$A$2:$B$60,2,FALSE),"N")="Y",N($D346),0))</f>
      </c>
      <c r="J346" s="37">
        <f>IF($H346&gt;0,$I346/$H346,"")</f>
      </c>
    </row>
    <row r="347" spans="1:10" x14ac:dyDescent="0.25">
      <c r="A347" s="26">
        <v>46311</v>
      </c>
      <c r="B347" s="27" t="s">
        <v>40</v>
      </c>
      <c r="C347" s="28"/>
      <c r="D347" s="29"/>
      <c r="E347" s="29"/>
      <c r="F347" s="30">
        <f>IF($C347="","",IF($E347="",30,$E347)/60)</f>
      </c>
      <c r="G347" s="30">
        <f>IF($C347="","",(30-IF($E347="",30,$E347))/60)</f>
      </c>
      <c r="H347" s="30">
        <f>IF($C347="",0,IF(IFERROR(VLOOKUP($C347,Setup!$A$2:$B$60,2,FALSE),"N")="Y",$F347,0))</f>
      </c>
      <c r="I347" s="31">
        <f>IF($C347="",0,IF(IFERROR(VLOOKUP($C347,Setup!$A$2:$B$60,2,FALSE),"N")="Y",N($D347),0))</f>
      </c>
      <c r="J347" s="30">
        <f>IF($H347&gt;0,$I347/$H347,"")</f>
      </c>
    </row>
    <row r="348" spans="1:10" x14ac:dyDescent="0.25">
      <c r="A348" s="33">
        <v>46311</v>
      </c>
      <c r="B348" s="34" t="s">
        <v>41</v>
      </c>
      <c r="C348" s="35"/>
      <c r="D348" s="36"/>
      <c r="E348" s="36"/>
      <c r="F348" s="37">
        <f>IF($C348="","",IF($E348="",30,$E348)/60)</f>
      </c>
      <c r="G348" s="37">
        <f>IF($C348="","",(30-IF($E348="",30,$E348))/60)</f>
      </c>
      <c r="H348" s="37">
        <f>IF($C348="",0,IF(IFERROR(VLOOKUP($C348,Setup!$A$2:$B$60,2,FALSE),"N")="Y",$F348,0))</f>
      </c>
      <c r="I348" s="38">
        <f>IF($C348="",0,IF(IFERROR(VLOOKUP($C348,Setup!$A$2:$B$60,2,FALSE),"N")="Y",N($D348),0))</f>
      </c>
      <c r="J348" s="37">
        <f>IF($H348&gt;0,$I348/$H348,"")</f>
      </c>
    </row>
    <row r="349" spans="1:10" x14ac:dyDescent="0.25">
      <c r="A349" s="26">
        <v>46311</v>
      </c>
      <c r="B349" s="27" t="s">
        <v>42</v>
      </c>
      <c r="C349" s="28"/>
      <c r="D349" s="29"/>
      <c r="E349" s="29"/>
      <c r="F349" s="30">
        <f>IF($C349="","",IF($E349="",30,$E349)/60)</f>
      </c>
      <c r="G349" s="30">
        <f>IF($C349="","",(30-IF($E349="",30,$E349))/60)</f>
      </c>
      <c r="H349" s="30">
        <f>IF($C349="",0,IF(IFERROR(VLOOKUP($C349,Setup!$A$2:$B$60,2,FALSE),"N")="Y",$F349,0))</f>
      </c>
      <c r="I349" s="31">
        <f>IF($C349="",0,IF(IFERROR(VLOOKUP($C349,Setup!$A$2:$B$60,2,FALSE),"N")="Y",N($D349),0))</f>
      </c>
      <c r="J349" s="30">
        <f>IF($H349&gt;0,$I349/$H349,"")</f>
      </c>
    </row>
    <row r="350" spans="1:10" x14ac:dyDescent="0.25">
      <c r="A350" s="33">
        <v>46311</v>
      </c>
      <c r="B350" s="34" t="s">
        <v>43</v>
      </c>
      <c r="C350" s="35"/>
      <c r="D350" s="36"/>
      <c r="E350" s="36"/>
      <c r="F350" s="37">
        <f>IF($C350="","",IF($E350="",30,$E350)/60)</f>
      </c>
      <c r="G350" s="37">
        <f>IF($C350="","",(30-IF($E350="",30,$E350))/60)</f>
      </c>
      <c r="H350" s="37">
        <f>IF($C350="",0,IF(IFERROR(VLOOKUP($C350,Setup!$A$2:$B$60,2,FALSE),"N")="Y",$F350,0))</f>
      </c>
      <c r="I350" s="38">
        <f>IF($C350="",0,IF(IFERROR(VLOOKUP($C350,Setup!$A$2:$B$60,2,FALSE),"N")="Y",N($D350),0))</f>
      </c>
      <c r="J350" s="37">
        <f>IF($H350&gt;0,$I350/$H350,"")</f>
      </c>
    </row>
    <row r="351" spans="2:10" x14ac:dyDescent="0.25">
      <c r="B351" s="39" t="s">
        <v>44</v>
      </c>
      <c r="C351" s="40"/>
      <c r="D351" s="41">
        <f>SUM(I333:I350)</f>
      </c>
      <c r="E351" s="40"/>
      <c r="F351" s="42">
        <f>SUM(F333:F350)</f>
      </c>
      <c r="G351" s="42">
        <f>SUM(G333:G350)</f>
      </c>
      <c r="H351" s="42">
        <f>SUM(H333:H350)</f>
      </c>
      <c r="I351" s="40"/>
      <c r="J351" s="42">
        <f>IF(H351&gt;0,D351/H351,"")</f>
      </c>
    </row>
    <row r="353" ht="26" customHeight="1" spans="2:10" x14ac:dyDescent="0.25">
      <c r="B353" s="21">
        <v>46312</v>
      </c>
      <c r="C353" s="21"/>
      <c r="D353" s="21"/>
      <c r="E353" s="22" t="s">
        <v>21</v>
      </c>
      <c r="F353" s="22"/>
      <c r="G353" s="22"/>
      <c r="H353" s="22"/>
      <c r="I353" s="22"/>
      <c r="J353" s="22"/>
    </row>
    <row r="354" ht="18" customHeight="1" spans="2:10" x14ac:dyDescent="0.25">
      <c r="B354" s="23" t="s">
        <v>22</v>
      </c>
      <c r="C354" s="23" t="s">
        <v>19</v>
      </c>
      <c r="D354" s="24" t="s">
        <v>4</v>
      </c>
      <c r="E354" s="24" t="s">
        <v>23</v>
      </c>
      <c r="F354" s="25" t="s">
        <v>13</v>
      </c>
      <c r="G354" s="25" t="s">
        <v>24</v>
      </c>
      <c r="H354" s="25" t="s">
        <v>25</v>
      </c>
      <c r="I354" s="25" t="s">
        <v>4</v>
      </c>
      <c r="J354" s="25" t="s">
        <v>14</v>
      </c>
    </row>
    <row r="355" spans="1:11" x14ac:dyDescent="0.25">
      <c r="A355" s="26">
        <v>46312</v>
      </c>
      <c r="B355" s="27" t="s">
        <v>26</v>
      </c>
      <c r="C355" s="28"/>
      <c r="D355" s="29"/>
      <c r="E355" s="29"/>
      <c r="F355" s="30">
        <f>IF($C355="","",IF($E355="",30,$E355)/60)</f>
      </c>
      <c r="G355" s="30">
        <f>IF($C355="","",(30-IF($E355="",30,$E355))/60)</f>
      </c>
      <c r="H355" s="30">
        <f>IF($C355="",0,IF(IFERROR(VLOOKUP($C355,Setup!$A$2:$B$60,2,FALSE),"N")="Y",$F355,0))</f>
      </c>
      <c r="I355" s="31">
        <f>IF($C355="",0,IF(IFERROR(VLOOKUP($C355,Setup!$A$2:$B$60,2,FALSE),"N")="Y",N($D355),0))</f>
      </c>
      <c r="J355" s="30">
        <f>IF($H355&gt;0,$I355/$H355,"")</f>
      </c>
      <c r="K355" s="32">
        <f>IF($F373&gt;0,9,0)</f>
      </c>
    </row>
    <row r="356" spans="1:10" x14ac:dyDescent="0.25">
      <c r="A356" s="33">
        <v>46312</v>
      </c>
      <c r="B356" s="34" t="s">
        <v>27</v>
      </c>
      <c r="C356" s="35"/>
      <c r="D356" s="36"/>
      <c r="E356" s="36"/>
      <c r="F356" s="37">
        <f>IF($C356="","",IF($E356="",30,$E356)/60)</f>
      </c>
      <c r="G356" s="37">
        <f>IF($C356="","",(30-IF($E356="",30,$E356))/60)</f>
      </c>
      <c r="H356" s="37">
        <f>IF($C356="",0,IF(IFERROR(VLOOKUP($C356,Setup!$A$2:$B$60,2,FALSE),"N")="Y",$F356,0))</f>
      </c>
      <c r="I356" s="38">
        <f>IF($C356="",0,IF(IFERROR(VLOOKUP($C356,Setup!$A$2:$B$60,2,FALSE),"N")="Y",N($D356),0))</f>
      </c>
      <c r="J356" s="37">
        <f>IF($H356&gt;0,$I356/$H356,"")</f>
      </c>
    </row>
    <row r="357" spans="1:10" x14ac:dyDescent="0.25">
      <c r="A357" s="26">
        <v>46312</v>
      </c>
      <c r="B357" s="27" t="s">
        <v>28</v>
      </c>
      <c r="C357" s="28"/>
      <c r="D357" s="29"/>
      <c r="E357" s="29"/>
      <c r="F357" s="30">
        <f>IF($C357="","",IF($E357="",30,$E357)/60)</f>
      </c>
      <c r="G357" s="30">
        <f>IF($C357="","",(30-IF($E357="",30,$E357))/60)</f>
      </c>
      <c r="H357" s="30">
        <f>IF($C357="",0,IF(IFERROR(VLOOKUP($C357,Setup!$A$2:$B$60,2,FALSE),"N")="Y",$F357,0))</f>
      </c>
      <c r="I357" s="31">
        <f>IF($C357="",0,IF(IFERROR(VLOOKUP($C357,Setup!$A$2:$B$60,2,FALSE),"N")="Y",N($D357),0))</f>
      </c>
      <c r="J357" s="30">
        <f>IF($H357&gt;0,$I357/$H357,"")</f>
      </c>
    </row>
    <row r="358" spans="1:10" x14ac:dyDescent="0.25">
      <c r="A358" s="33">
        <v>46312</v>
      </c>
      <c r="B358" s="34" t="s">
        <v>29</v>
      </c>
      <c r="C358" s="35"/>
      <c r="D358" s="36"/>
      <c r="E358" s="36"/>
      <c r="F358" s="37">
        <f>IF($C358="","",IF($E358="",30,$E358)/60)</f>
      </c>
      <c r="G358" s="37">
        <f>IF($C358="","",(30-IF($E358="",30,$E358))/60)</f>
      </c>
      <c r="H358" s="37">
        <f>IF($C358="",0,IF(IFERROR(VLOOKUP($C358,Setup!$A$2:$B$60,2,FALSE),"N")="Y",$F358,0))</f>
      </c>
      <c r="I358" s="38">
        <f>IF($C358="",0,IF(IFERROR(VLOOKUP($C358,Setup!$A$2:$B$60,2,FALSE),"N")="Y",N($D358),0))</f>
      </c>
      <c r="J358" s="37">
        <f>IF($H358&gt;0,$I358/$H358,"")</f>
      </c>
    </row>
    <row r="359" spans="1:10" x14ac:dyDescent="0.25">
      <c r="A359" s="26">
        <v>46312</v>
      </c>
      <c r="B359" s="27" t="s">
        <v>30</v>
      </c>
      <c r="C359" s="28"/>
      <c r="D359" s="29"/>
      <c r="E359" s="29"/>
      <c r="F359" s="30">
        <f>IF($C359="","",IF($E359="",30,$E359)/60)</f>
      </c>
      <c r="G359" s="30">
        <f>IF($C359="","",(30-IF($E359="",30,$E359))/60)</f>
      </c>
      <c r="H359" s="30">
        <f>IF($C359="",0,IF(IFERROR(VLOOKUP($C359,Setup!$A$2:$B$60,2,FALSE),"N")="Y",$F359,0))</f>
      </c>
      <c r="I359" s="31">
        <f>IF($C359="",0,IF(IFERROR(VLOOKUP($C359,Setup!$A$2:$B$60,2,FALSE),"N")="Y",N($D359),0))</f>
      </c>
      <c r="J359" s="30">
        <f>IF($H359&gt;0,$I359/$H359,"")</f>
      </c>
    </row>
    <row r="360" spans="1:10" x14ac:dyDescent="0.25">
      <c r="A360" s="33">
        <v>46312</v>
      </c>
      <c r="B360" s="34" t="s">
        <v>31</v>
      </c>
      <c r="C360" s="35"/>
      <c r="D360" s="36"/>
      <c r="E360" s="36"/>
      <c r="F360" s="37">
        <f>IF($C360="","",IF($E360="",30,$E360)/60)</f>
      </c>
      <c r="G360" s="37">
        <f>IF($C360="","",(30-IF($E360="",30,$E360))/60)</f>
      </c>
      <c r="H360" s="37">
        <f>IF($C360="",0,IF(IFERROR(VLOOKUP($C360,Setup!$A$2:$B$60,2,FALSE),"N")="Y",$F360,0))</f>
      </c>
      <c r="I360" s="38">
        <f>IF($C360="",0,IF(IFERROR(VLOOKUP($C360,Setup!$A$2:$B$60,2,FALSE),"N")="Y",N($D360),0))</f>
      </c>
      <c r="J360" s="37">
        <f>IF($H360&gt;0,$I360/$H360,"")</f>
      </c>
    </row>
    <row r="361" spans="1:10" x14ac:dyDescent="0.25">
      <c r="A361" s="26">
        <v>46312</v>
      </c>
      <c r="B361" s="27" t="s">
        <v>32</v>
      </c>
      <c r="C361" s="28"/>
      <c r="D361" s="29"/>
      <c r="E361" s="29"/>
      <c r="F361" s="30">
        <f>IF($C361="","",IF($E361="",30,$E361)/60)</f>
      </c>
      <c r="G361" s="30">
        <f>IF($C361="","",(30-IF($E361="",30,$E361))/60)</f>
      </c>
      <c r="H361" s="30">
        <f>IF($C361="",0,IF(IFERROR(VLOOKUP($C361,Setup!$A$2:$B$60,2,FALSE),"N")="Y",$F361,0))</f>
      </c>
      <c r="I361" s="31">
        <f>IF($C361="",0,IF(IFERROR(VLOOKUP($C361,Setup!$A$2:$B$60,2,FALSE),"N")="Y",N($D361),0))</f>
      </c>
      <c r="J361" s="30">
        <f>IF($H361&gt;0,$I361/$H361,"")</f>
      </c>
    </row>
    <row r="362" spans="1:10" x14ac:dyDescent="0.25">
      <c r="A362" s="33">
        <v>46312</v>
      </c>
      <c r="B362" s="34" t="s">
        <v>33</v>
      </c>
      <c r="C362" s="35"/>
      <c r="D362" s="36"/>
      <c r="E362" s="36"/>
      <c r="F362" s="37">
        <f>IF($C362="","",IF($E362="",30,$E362)/60)</f>
      </c>
      <c r="G362" s="37">
        <f>IF($C362="","",(30-IF($E362="",30,$E362))/60)</f>
      </c>
      <c r="H362" s="37">
        <f>IF($C362="",0,IF(IFERROR(VLOOKUP($C362,Setup!$A$2:$B$60,2,FALSE),"N")="Y",$F362,0))</f>
      </c>
      <c r="I362" s="38">
        <f>IF($C362="",0,IF(IFERROR(VLOOKUP($C362,Setup!$A$2:$B$60,2,FALSE),"N")="Y",N($D362),0))</f>
      </c>
      <c r="J362" s="37">
        <f>IF($H362&gt;0,$I362/$H362,"")</f>
      </c>
    </row>
    <row r="363" spans="1:10" x14ac:dyDescent="0.25">
      <c r="A363" s="26">
        <v>46312</v>
      </c>
      <c r="B363" s="27" t="s">
        <v>34</v>
      </c>
      <c r="C363" s="28"/>
      <c r="D363" s="29"/>
      <c r="E363" s="29"/>
      <c r="F363" s="30">
        <f>IF($C363="","",IF($E363="",30,$E363)/60)</f>
      </c>
      <c r="G363" s="30">
        <f>IF($C363="","",(30-IF($E363="",30,$E363))/60)</f>
      </c>
      <c r="H363" s="30">
        <f>IF($C363="",0,IF(IFERROR(VLOOKUP($C363,Setup!$A$2:$B$60,2,FALSE),"N")="Y",$F363,0))</f>
      </c>
      <c r="I363" s="31">
        <f>IF($C363="",0,IF(IFERROR(VLOOKUP($C363,Setup!$A$2:$B$60,2,FALSE),"N")="Y",N($D363),0))</f>
      </c>
      <c r="J363" s="30">
        <f>IF($H363&gt;0,$I363/$H363,"")</f>
      </c>
    </row>
    <row r="364" spans="1:10" x14ac:dyDescent="0.25">
      <c r="A364" s="33">
        <v>46312</v>
      </c>
      <c r="B364" s="34" t="s">
        <v>35</v>
      </c>
      <c r="C364" s="35"/>
      <c r="D364" s="36"/>
      <c r="E364" s="36"/>
      <c r="F364" s="37">
        <f>IF($C364="","",IF($E364="",30,$E364)/60)</f>
      </c>
      <c r="G364" s="37">
        <f>IF($C364="","",(30-IF($E364="",30,$E364))/60)</f>
      </c>
      <c r="H364" s="37">
        <f>IF($C364="",0,IF(IFERROR(VLOOKUP($C364,Setup!$A$2:$B$60,2,FALSE),"N")="Y",$F364,0))</f>
      </c>
      <c r="I364" s="38">
        <f>IF($C364="",0,IF(IFERROR(VLOOKUP($C364,Setup!$A$2:$B$60,2,FALSE),"N")="Y",N($D364),0))</f>
      </c>
      <c r="J364" s="37">
        <f>IF($H364&gt;0,$I364/$H364,"")</f>
      </c>
    </row>
    <row r="365" spans="1:10" x14ac:dyDescent="0.25">
      <c r="A365" s="26">
        <v>46312</v>
      </c>
      <c r="B365" s="27" t="s">
        <v>36</v>
      </c>
      <c r="C365" s="28"/>
      <c r="D365" s="29"/>
      <c r="E365" s="29"/>
      <c r="F365" s="30">
        <f>IF($C365="","",IF($E365="",30,$E365)/60)</f>
      </c>
      <c r="G365" s="30">
        <f>IF($C365="","",(30-IF($E365="",30,$E365))/60)</f>
      </c>
      <c r="H365" s="30">
        <f>IF($C365="",0,IF(IFERROR(VLOOKUP($C365,Setup!$A$2:$B$60,2,FALSE),"N")="Y",$F365,0))</f>
      </c>
      <c r="I365" s="31">
        <f>IF($C365="",0,IF(IFERROR(VLOOKUP($C365,Setup!$A$2:$B$60,2,FALSE),"N")="Y",N($D365),0))</f>
      </c>
      <c r="J365" s="30">
        <f>IF($H365&gt;0,$I365/$H365,"")</f>
      </c>
    </row>
    <row r="366" spans="1:10" x14ac:dyDescent="0.25">
      <c r="A366" s="33">
        <v>46312</v>
      </c>
      <c r="B366" s="34" t="s">
        <v>37</v>
      </c>
      <c r="C366" s="35"/>
      <c r="D366" s="36"/>
      <c r="E366" s="36"/>
      <c r="F366" s="37">
        <f>IF($C366="","",IF($E366="",30,$E366)/60)</f>
      </c>
      <c r="G366" s="37">
        <f>IF($C366="","",(30-IF($E366="",30,$E366))/60)</f>
      </c>
      <c r="H366" s="37">
        <f>IF($C366="",0,IF(IFERROR(VLOOKUP($C366,Setup!$A$2:$B$60,2,FALSE),"N")="Y",$F366,0))</f>
      </c>
      <c r="I366" s="38">
        <f>IF($C366="",0,IF(IFERROR(VLOOKUP($C366,Setup!$A$2:$B$60,2,FALSE),"N")="Y",N($D366),0))</f>
      </c>
      <c r="J366" s="37">
        <f>IF($H366&gt;0,$I366/$H366,"")</f>
      </c>
    </row>
    <row r="367" spans="1:10" x14ac:dyDescent="0.25">
      <c r="A367" s="26">
        <v>46312</v>
      </c>
      <c r="B367" s="27" t="s">
        <v>38</v>
      </c>
      <c r="C367" s="28"/>
      <c r="D367" s="29"/>
      <c r="E367" s="29"/>
      <c r="F367" s="30">
        <f>IF($C367="","",IF($E367="",30,$E367)/60)</f>
      </c>
      <c r="G367" s="30">
        <f>IF($C367="","",(30-IF($E367="",30,$E367))/60)</f>
      </c>
      <c r="H367" s="30">
        <f>IF($C367="",0,IF(IFERROR(VLOOKUP($C367,Setup!$A$2:$B$60,2,FALSE),"N")="Y",$F367,0))</f>
      </c>
      <c r="I367" s="31">
        <f>IF($C367="",0,IF(IFERROR(VLOOKUP($C367,Setup!$A$2:$B$60,2,FALSE),"N")="Y",N($D367),0))</f>
      </c>
      <c r="J367" s="30">
        <f>IF($H367&gt;0,$I367/$H367,"")</f>
      </c>
    </row>
    <row r="368" spans="1:10" x14ac:dyDescent="0.25">
      <c r="A368" s="33">
        <v>46312</v>
      </c>
      <c r="B368" s="34" t="s">
        <v>39</v>
      </c>
      <c r="C368" s="35"/>
      <c r="D368" s="36"/>
      <c r="E368" s="36"/>
      <c r="F368" s="37">
        <f>IF($C368="","",IF($E368="",30,$E368)/60)</f>
      </c>
      <c r="G368" s="37">
        <f>IF($C368="","",(30-IF($E368="",30,$E368))/60)</f>
      </c>
      <c r="H368" s="37">
        <f>IF($C368="",0,IF(IFERROR(VLOOKUP($C368,Setup!$A$2:$B$60,2,FALSE),"N")="Y",$F368,0))</f>
      </c>
      <c r="I368" s="38">
        <f>IF($C368="",0,IF(IFERROR(VLOOKUP($C368,Setup!$A$2:$B$60,2,FALSE),"N")="Y",N($D368),0))</f>
      </c>
      <c r="J368" s="37">
        <f>IF($H368&gt;0,$I368/$H368,"")</f>
      </c>
    </row>
    <row r="369" spans="1:10" x14ac:dyDescent="0.25">
      <c r="A369" s="26">
        <v>46312</v>
      </c>
      <c r="B369" s="27" t="s">
        <v>40</v>
      </c>
      <c r="C369" s="28"/>
      <c r="D369" s="29"/>
      <c r="E369" s="29"/>
      <c r="F369" s="30">
        <f>IF($C369="","",IF($E369="",30,$E369)/60)</f>
      </c>
      <c r="G369" s="30">
        <f>IF($C369="","",(30-IF($E369="",30,$E369))/60)</f>
      </c>
      <c r="H369" s="30">
        <f>IF($C369="",0,IF(IFERROR(VLOOKUP($C369,Setup!$A$2:$B$60,2,FALSE),"N")="Y",$F369,0))</f>
      </c>
      <c r="I369" s="31">
        <f>IF($C369="",0,IF(IFERROR(VLOOKUP($C369,Setup!$A$2:$B$60,2,FALSE),"N")="Y",N($D369),0))</f>
      </c>
      <c r="J369" s="30">
        <f>IF($H369&gt;0,$I369/$H369,"")</f>
      </c>
    </row>
    <row r="370" spans="1:10" x14ac:dyDescent="0.25">
      <c r="A370" s="33">
        <v>46312</v>
      </c>
      <c r="B370" s="34" t="s">
        <v>41</v>
      </c>
      <c r="C370" s="35"/>
      <c r="D370" s="36"/>
      <c r="E370" s="36"/>
      <c r="F370" s="37">
        <f>IF($C370="","",IF($E370="",30,$E370)/60)</f>
      </c>
      <c r="G370" s="37">
        <f>IF($C370="","",(30-IF($E370="",30,$E370))/60)</f>
      </c>
      <c r="H370" s="37">
        <f>IF($C370="",0,IF(IFERROR(VLOOKUP($C370,Setup!$A$2:$B$60,2,FALSE),"N")="Y",$F370,0))</f>
      </c>
      <c r="I370" s="38">
        <f>IF($C370="",0,IF(IFERROR(VLOOKUP($C370,Setup!$A$2:$B$60,2,FALSE),"N")="Y",N($D370),0))</f>
      </c>
      <c r="J370" s="37">
        <f>IF($H370&gt;0,$I370/$H370,"")</f>
      </c>
    </row>
    <row r="371" spans="1:10" x14ac:dyDescent="0.25">
      <c r="A371" s="26">
        <v>46312</v>
      </c>
      <c r="B371" s="27" t="s">
        <v>42</v>
      </c>
      <c r="C371" s="28"/>
      <c r="D371" s="29"/>
      <c r="E371" s="29"/>
      <c r="F371" s="30">
        <f>IF($C371="","",IF($E371="",30,$E371)/60)</f>
      </c>
      <c r="G371" s="30">
        <f>IF($C371="","",(30-IF($E371="",30,$E371))/60)</f>
      </c>
      <c r="H371" s="30">
        <f>IF($C371="",0,IF(IFERROR(VLOOKUP($C371,Setup!$A$2:$B$60,2,FALSE),"N")="Y",$F371,0))</f>
      </c>
      <c r="I371" s="31">
        <f>IF($C371="",0,IF(IFERROR(VLOOKUP($C371,Setup!$A$2:$B$60,2,FALSE),"N")="Y",N($D371),0))</f>
      </c>
      <c r="J371" s="30">
        <f>IF($H371&gt;0,$I371/$H371,"")</f>
      </c>
    </row>
    <row r="372" spans="1:10" x14ac:dyDescent="0.25">
      <c r="A372" s="33">
        <v>46312</v>
      </c>
      <c r="B372" s="34" t="s">
        <v>43</v>
      </c>
      <c r="C372" s="35"/>
      <c r="D372" s="36"/>
      <c r="E372" s="36"/>
      <c r="F372" s="37">
        <f>IF($C372="","",IF($E372="",30,$E372)/60)</f>
      </c>
      <c r="G372" s="37">
        <f>IF($C372="","",(30-IF($E372="",30,$E372))/60)</f>
      </c>
      <c r="H372" s="37">
        <f>IF($C372="",0,IF(IFERROR(VLOOKUP($C372,Setup!$A$2:$B$60,2,FALSE),"N")="Y",$F372,0))</f>
      </c>
      <c r="I372" s="38">
        <f>IF($C372="",0,IF(IFERROR(VLOOKUP($C372,Setup!$A$2:$B$60,2,FALSE),"N")="Y",N($D372),0))</f>
      </c>
      <c r="J372" s="37">
        <f>IF($H372&gt;0,$I372/$H372,"")</f>
      </c>
    </row>
    <row r="373" spans="2:10" x14ac:dyDescent="0.25">
      <c r="B373" s="39" t="s">
        <v>44</v>
      </c>
      <c r="C373" s="40"/>
      <c r="D373" s="41">
        <f>SUM(I355:I372)</f>
      </c>
      <c r="E373" s="40"/>
      <c r="F373" s="42">
        <f>SUM(F355:F372)</f>
      </c>
      <c r="G373" s="42">
        <f>SUM(G355:G372)</f>
      </c>
      <c r="H373" s="42">
        <f>SUM(H355:H372)</f>
      </c>
      <c r="I373" s="40"/>
      <c r="J373" s="42">
        <f>IF(H373&gt;0,D373/H373,"")</f>
      </c>
    </row>
    <row r="375" ht="26" customHeight="1" spans="2:10" x14ac:dyDescent="0.25">
      <c r="B375" s="21">
        <v>46313</v>
      </c>
      <c r="C375" s="21"/>
      <c r="D375" s="21"/>
      <c r="E375" s="22" t="s">
        <v>21</v>
      </c>
      <c r="F375" s="22"/>
      <c r="G375" s="22"/>
      <c r="H375" s="22"/>
      <c r="I375" s="22"/>
      <c r="J375" s="22"/>
    </row>
    <row r="376" ht="18" customHeight="1" spans="2:10" x14ac:dyDescent="0.25">
      <c r="B376" s="23" t="s">
        <v>22</v>
      </c>
      <c r="C376" s="23" t="s">
        <v>19</v>
      </c>
      <c r="D376" s="24" t="s">
        <v>4</v>
      </c>
      <c r="E376" s="24" t="s">
        <v>23</v>
      </c>
      <c r="F376" s="25" t="s">
        <v>13</v>
      </c>
      <c r="G376" s="25" t="s">
        <v>24</v>
      </c>
      <c r="H376" s="25" t="s">
        <v>25</v>
      </c>
      <c r="I376" s="25" t="s">
        <v>4</v>
      </c>
      <c r="J376" s="25" t="s">
        <v>14</v>
      </c>
    </row>
    <row r="377" spans="1:11" x14ac:dyDescent="0.25">
      <c r="A377" s="26">
        <v>46313</v>
      </c>
      <c r="B377" s="27" t="s">
        <v>26</v>
      </c>
      <c r="C377" s="28"/>
      <c r="D377" s="29"/>
      <c r="E377" s="29"/>
      <c r="F377" s="30">
        <f>IF($C377="","",IF($E377="",30,$E377)/60)</f>
      </c>
      <c r="G377" s="30">
        <f>IF($C377="","",(30-IF($E377="",30,$E377))/60)</f>
      </c>
      <c r="H377" s="30">
        <f>IF($C377="",0,IF(IFERROR(VLOOKUP($C377,Setup!$A$2:$B$60,2,FALSE),"N")="Y",$F377,0))</f>
      </c>
      <c r="I377" s="31">
        <f>IF($C377="",0,IF(IFERROR(VLOOKUP($C377,Setup!$A$2:$B$60,2,FALSE),"N")="Y",N($D377),0))</f>
      </c>
      <c r="J377" s="30">
        <f>IF($H377&gt;0,$I377/$H377,"")</f>
      </c>
      <c r="K377" s="32">
        <f>IF($F395&gt;0,9,0)</f>
      </c>
    </row>
    <row r="378" spans="1:10" x14ac:dyDescent="0.25">
      <c r="A378" s="33">
        <v>46313</v>
      </c>
      <c r="B378" s="34" t="s">
        <v>27</v>
      </c>
      <c r="C378" s="35"/>
      <c r="D378" s="36"/>
      <c r="E378" s="36"/>
      <c r="F378" s="37">
        <f>IF($C378="","",IF($E378="",30,$E378)/60)</f>
      </c>
      <c r="G378" s="37">
        <f>IF($C378="","",(30-IF($E378="",30,$E378))/60)</f>
      </c>
      <c r="H378" s="37">
        <f>IF($C378="",0,IF(IFERROR(VLOOKUP($C378,Setup!$A$2:$B$60,2,FALSE),"N")="Y",$F378,0))</f>
      </c>
      <c r="I378" s="38">
        <f>IF($C378="",0,IF(IFERROR(VLOOKUP($C378,Setup!$A$2:$B$60,2,FALSE),"N")="Y",N($D378),0))</f>
      </c>
      <c r="J378" s="37">
        <f>IF($H378&gt;0,$I378/$H378,"")</f>
      </c>
    </row>
    <row r="379" spans="1:10" x14ac:dyDescent="0.25">
      <c r="A379" s="26">
        <v>46313</v>
      </c>
      <c r="B379" s="27" t="s">
        <v>28</v>
      </c>
      <c r="C379" s="28"/>
      <c r="D379" s="29"/>
      <c r="E379" s="29"/>
      <c r="F379" s="30">
        <f>IF($C379="","",IF($E379="",30,$E379)/60)</f>
      </c>
      <c r="G379" s="30">
        <f>IF($C379="","",(30-IF($E379="",30,$E379))/60)</f>
      </c>
      <c r="H379" s="30">
        <f>IF($C379="",0,IF(IFERROR(VLOOKUP($C379,Setup!$A$2:$B$60,2,FALSE),"N")="Y",$F379,0))</f>
      </c>
      <c r="I379" s="31">
        <f>IF($C379="",0,IF(IFERROR(VLOOKUP($C379,Setup!$A$2:$B$60,2,FALSE),"N")="Y",N($D379),0))</f>
      </c>
      <c r="J379" s="30">
        <f>IF($H379&gt;0,$I379/$H379,"")</f>
      </c>
    </row>
    <row r="380" spans="1:10" x14ac:dyDescent="0.25">
      <c r="A380" s="33">
        <v>46313</v>
      </c>
      <c r="B380" s="34" t="s">
        <v>29</v>
      </c>
      <c r="C380" s="35"/>
      <c r="D380" s="36"/>
      <c r="E380" s="36"/>
      <c r="F380" s="37">
        <f>IF($C380="","",IF($E380="",30,$E380)/60)</f>
      </c>
      <c r="G380" s="37">
        <f>IF($C380="","",(30-IF($E380="",30,$E380))/60)</f>
      </c>
      <c r="H380" s="37">
        <f>IF($C380="",0,IF(IFERROR(VLOOKUP($C380,Setup!$A$2:$B$60,2,FALSE),"N")="Y",$F380,0))</f>
      </c>
      <c r="I380" s="38">
        <f>IF($C380="",0,IF(IFERROR(VLOOKUP($C380,Setup!$A$2:$B$60,2,FALSE),"N")="Y",N($D380),0))</f>
      </c>
      <c r="J380" s="37">
        <f>IF($H380&gt;0,$I380/$H380,"")</f>
      </c>
    </row>
    <row r="381" spans="1:10" x14ac:dyDescent="0.25">
      <c r="A381" s="26">
        <v>46313</v>
      </c>
      <c r="B381" s="27" t="s">
        <v>30</v>
      </c>
      <c r="C381" s="28"/>
      <c r="D381" s="29"/>
      <c r="E381" s="29"/>
      <c r="F381" s="30">
        <f>IF($C381="","",IF($E381="",30,$E381)/60)</f>
      </c>
      <c r="G381" s="30">
        <f>IF($C381="","",(30-IF($E381="",30,$E381))/60)</f>
      </c>
      <c r="H381" s="30">
        <f>IF($C381="",0,IF(IFERROR(VLOOKUP($C381,Setup!$A$2:$B$60,2,FALSE),"N")="Y",$F381,0))</f>
      </c>
      <c r="I381" s="31">
        <f>IF($C381="",0,IF(IFERROR(VLOOKUP($C381,Setup!$A$2:$B$60,2,FALSE),"N")="Y",N($D381),0))</f>
      </c>
      <c r="J381" s="30">
        <f>IF($H381&gt;0,$I381/$H381,"")</f>
      </c>
    </row>
    <row r="382" spans="1:10" x14ac:dyDescent="0.25">
      <c r="A382" s="33">
        <v>46313</v>
      </c>
      <c r="B382" s="34" t="s">
        <v>31</v>
      </c>
      <c r="C382" s="35"/>
      <c r="D382" s="36"/>
      <c r="E382" s="36"/>
      <c r="F382" s="37">
        <f>IF($C382="","",IF($E382="",30,$E382)/60)</f>
      </c>
      <c r="G382" s="37">
        <f>IF($C382="","",(30-IF($E382="",30,$E382))/60)</f>
      </c>
      <c r="H382" s="37">
        <f>IF($C382="",0,IF(IFERROR(VLOOKUP($C382,Setup!$A$2:$B$60,2,FALSE),"N")="Y",$F382,0))</f>
      </c>
      <c r="I382" s="38">
        <f>IF($C382="",0,IF(IFERROR(VLOOKUP($C382,Setup!$A$2:$B$60,2,FALSE),"N")="Y",N($D382),0))</f>
      </c>
      <c r="J382" s="37">
        <f>IF($H382&gt;0,$I382/$H382,"")</f>
      </c>
    </row>
    <row r="383" spans="1:10" x14ac:dyDescent="0.25">
      <c r="A383" s="26">
        <v>46313</v>
      </c>
      <c r="B383" s="27" t="s">
        <v>32</v>
      </c>
      <c r="C383" s="28"/>
      <c r="D383" s="29"/>
      <c r="E383" s="29"/>
      <c r="F383" s="30">
        <f>IF($C383="","",IF($E383="",30,$E383)/60)</f>
      </c>
      <c r="G383" s="30">
        <f>IF($C383="","",(30-IF($E383="",30,$E383))/60)</f>
      </c>
      <c r="H383" s="30">
        <f>IF($C383="",0,IF(IFERROR(VLOOKUP($C383,Setup!$A$2:$B$60,2,FALSE),"N")="Y",$F383,0))</f>
      </c>
      <c r="I383" s="31">
        <f>IF($C383="",0,IF(IFERROR(VLOOKUP($C383,Setup!$A$2:$B$60,2,FALSE),"N")="Y",N($D383),0))</f>
      </c>
      <c r="J383" s="30">
        <f>IF($H383&gt;0,$I383/$H383,"")</f>
      </c>
    </row>
    <row r="384" spans="1:10" x14ac:dyDescent="0.25">
      <c r="A384" s="33">
        <v>46313</v>
      </c>
      <c r="B384" s="34" t="s">
        <v>33</v>
      </c>
      <c r="C384" s="35"/>
      <c r="D384" s="36"/>
      <c r="E384" s="36"/>
      <c r="F384" s="37">
        <f>IF($C384="","",IF($E384="",30,$E384)/60)</f>
      </c>
      <c r="G384" s="37">
        <f>IF($C384="","",(30-IF($E384="",30,$E384))/60)</f>
      </c>
      <c r="H384" s="37">
        <f>IF($C384="",0,IF(IFERROR(VLOOKUP($C384,Setup!$A$2:$B$60,2,FALSE),"N")="Y",$F384,0))</f>
      </c>
      <c r="I384" s="38">
        <f>IF($C384="",0,IF(IFERROR(VLOOKUP($C384,Setup!$A$2:$B$60,2,FALSE),"N")="Y",N($D384),0))</f>
      </c>
      <c r="J384" s="37">
        <f>IF($H384&gt;0,$I384/$H384,"")</f>
      </c>
    </row>
    <row r="385" spans="1:10" x14ac:dyDescent="0.25">
      <c r="A385" s="26">
        <v>46313</v>
      </c>
      <c r="B385" s="27" t="s">
        <v>34</v>
      </c>
      <c r="C385" s="28"/>
      <c r="D385" s="29"/>
      <c r="E385" s="29"/>
      <c r="F385" s="30">
        <f>IF($C385="","",IF($E385="",30,$E385)/60)</f>
      </c>
      <c r="G385" s="30">
        <f>IF($C385="","",(30-IF($E385="",30,$E385))/60)</f>
      </c>
      <c r="H385" s="30">
        <f>IF($C385="",0,IF(IFERROR(VLOOKUP($C385,Setup!$A$2:$B$60,2,FALSE),"N")="Y",$F385,0))</f>
      </c>
      <c r="I385" s="31">
        <f>IF($C385="",0,IF(IFERROR(VLOOKUP($C385,Setup!$A$2:$B$60,2,FALSE),"N")="Y",N($D385),0))</f>
      </c>
      <c r="J385" s="30">
        <f>IF($H385&gt;0,$I385/$H385,"")</f>
      </c>
    </row>
    <row r="386" spans="1:10" x14ac:dyDescent="0.25">
      <c r="A386" s="33">
        <v>46313</v>
      </c>
      <c r="B386" s="34" t="s">
        <v>35</v>
      </c>
      <c r="C386" s="35"/>
      <c r="D386" s="36"/>
      <c r="E386" s="36"/>
      <c r="F386" s="37">
        <f>IF($C386="","",IF($E386="",30,$E386)/60)</f>
      </c>
      <c r="G386" s="37">
        <f>IF($C386="","",(30-IF($E386="",30,$E386))/60)</f>
      </c>
      <c r="H386" s="37">
        <f>IF($C386="",0,IF(IFERROR(VLOOKUP($C386,Setup!$A$2:$B$60,2,FALSE),"N")="Y",$F386,0))</f>
      </c>
      <c r="I386" s="38">
        <f>IF($C386="",0,IF(IFERROR(VLOOKUP($C386,Setup!$A$2:$B$60,2,FALSE),"N")="Y",N($D386),0))</f>
      </c>
      <c r="J386" s="37">
        <f>IF($H386&gt;0,$I386/$H386,"")</f>
      </c>
    </row>
    <row r="387" spans="1:10" x14ac:dyDescent="0.25">
      <c r="A387" s="26">
        <v>46313</v>
      </c>
      <c r="B387" s="27" t="s">
        <v>36</v>
      </c>
      <c r="C387" s="28"/>
      <c r="D387" s="29"/>
      <c r="E387" s="29"/>
      <c r="F387" s="30">
        <f>IF($C387="","",IF($E387="",30,$E387)/60)</f>
      </c>
      <c r="G387" s="30">
        <f>IF($C387="","",(30-IF($E387="",30,$E387))/60)</f>
      </c>
      <c r="H387" s="30">
        <f>IF($C387="",0,IF(IFERROR(VLOOKUP($C387,Setup!$A$2:$B$60,2,FALSE),"N")="Y",$F387,0))</f>
      </c>
      <c r="I387" s="31">
        <f>IF($C387="",0,IF(IFERROR(VLOOKUP($C387,Setup!$A$2:$B$60,2,FALSE),"N")="Y",N($D387),0))</f>
      </c>
      <c r="J387" s="30">
        <f>IF($H387&gt;0,$I387/$H387,"")</f>
      </c>
    </row>
    <row r="388" spans="1:10" x14ac:dyDescent="0.25">
      <c r="A388" s="33">
        <v>46313</v>
      </c>
      <c r="B388" s="34" t="s">
        <v>37</v>
      </c>
      <c r="C388" s="35"/>
      <c r="D388" s="36"/>
      <c r="E388" s="36"/>
      <c r="F388" s="37">
        <f>IF($C388="","",IF($E388="",30,$E388)/60)</f>
      </c>
      <c r="G388" s="37">
        <f>IF($C388="","",(30-IF($E388="",30,$E388))/60)</f>
      </c>
      <c r="H388" s="37">
        <f>IF($C388="",0,IF(IFERROR(VLOOKUP($C388,Setup!$A$2:$B$60,2,FALSE),"N")="Y",$F388,0))</f>
      </c>
      <c r="I388" s="38">
        <f>IF($C388="",0,IF(IFERROR(VLOOKUP($C388,Setup!$A$2:$B$60,2,FALSE),"N")="Y",N($D388),0))</f>
      </c>
      <c r="J388" s="37">
        <f>IF($H388&gt;0,$I388/$H388,"")</f>
      </c>
    </row>
    <row r="389" spans="1:10" x14ac:dyDescent="0.25">
      <c r="A389" s="26">
        <v>46313</v>
      </c>
      <c r="B389" s="27" t="s">
        <v>38</v>
      </c>
      <c r="C389" s="28"/>
      <c r="D389" s="29"/>
      <c r="E389" s="29"/>
      <c r="F389" s="30">
        <f>IF($C389="","",IF($E389="",30,$E389)/60)</f>
      </c>
      <c r="G389" s="30">
        <f>IF($C389="","",(30-IF($E389="",30,$E389))/60)</f>
      </c>
      <c r="H389" s="30">
        <f>IF($C389="",0,IF(IFERROR(VLOOKUP($C389,Setup!$A$2:$B$60,2,FALSE),"N")="Y",$F389,0))</f>
      </c>
      <c r="I389" s="31">
        <f>IF($C389="",0,IF(IFERROR(VLOOKUP($C389,Setup!$A$2:$B$60,2,FALSE),"N")="Y",N($D389),0))</f>
      </c>
      <c r="J389" s="30">
        <f>IF($H389&gt;0,$I389/$H389,"")</f>
      </c>
    </row>
    <row r="390" spans="1:10" x14ac:dyDescent="0.25">
      <c r="A390" s="33">
        <v>46313</v>
      </c>
      <c r="B390" s="34" t="s">
        <v>39</v>
      </c>
      <c r="C390" s="35"/>
      <c r="D390" s="36"/>
      <c r="E390" s="36"/>
      <c r="F390" s="37">
        <f>IF($C390="","",IF($E390="",30,$E390)/60)</f>
      </c>
      <c r="G390" s="37">
        <f>IF($C390="","",(30-IF($E390="",30,$E390))/60)</f>
      </c>
      <c r="H390" s="37">
        <f>IF($C390="",0,IF(IFERROR(VLOOKUP($C390,Setup!$A$2:$B$60,2,FALSE),"N")="Y",$F390,0))</f>
      </c>
      <c r="I390" s="38">
        <f>IF($C390="",0,IF(IFERROR(VLOOKUP($C390,Setup!$A$2:$B$60,2,FALSE),"N")="Y",N($D390),0))</f>
      </c>
      <c r="J390" s="37">
        <f>IF($H390&gt;0,$I390/$H390,"")</f>
      </c>
    </row>
    <row r="391" spans="1:10" x14ac:dyDescent="0.25">
      <c r="A391" s="26">
        <v>46313</v>
      </c>
      <c r="B391" s="27" t="s">
        <v>40</v>
      </c>
      <c r="C391" s="28"/>
      <c r="D391" s="29"/>
      <c r="E391" s="29"/>
      <c r="F391" s="30">
        <f>IF($C391="","",IF($E391="",30,$E391)/60)</f>
      </c>
      <c r="G391" s="30">
        <f>IF($C391="","",(30-IF($E391="",30,$E391))/60)</f>
      </c>
      <c r="H391" s="30">
        <f>IF($C391="",0,IF(IFERROR(VLOOKUP($C391,Setup!$A$2:$B$60,2,FALSE),"N")="Y",$F391,0))</f>
      </c>
      <c r="I391" s="31">
        <f>IF($C391="",0,IF(IFERROR(VLOOKUP($C391,Setup!$A$2:$B$60,2,FALSE),"N")="Y",N($D391),0))</f>
      </c>
      <c r="J391" s="30">
        <f>IF($H391&gt;0,$I391/$H391,"")</f>
      </c>
    </row>
    <row r="392" spans="1:10" x14ac:dyDescent="0.25">
      <c r="A392" s="33">
        <v>46313</v>
      </c>
      <c r="B392" s="34" t="s">
        <v>41</v>
      </c>
      <c r="C392" s="35"/>
      <c r="D392" s="36"/>
      <c r="E392" s="36"/>
      <c r="F392" s="37">
        <f>IF($C392="","",IF($E392="",30,$E392)/60)</f>
      </c>
      <c r="G392" s="37">
        <f>IF($C392="","",(30-IF($E392="",30,$E392))/60)</f>
      </c>
      <c r="H392" s="37">
        <f>IF($C392="",0,IF(IFERROR(VLOOKUP($C392,Setup!$A$2:$B$60,2,FALSE),"N")="Y",$F392,0))</f>
      </c>
      <c r="I392" s="38">
        <f>IF($C392="",0,IF(IFERROR(VLOOKUP($C392,Setup!$A$2:$B$60,2,FALSE),"N")="Y",N($D392),0))</f>
      </c>
      <c r="J392" s="37">
        <f>IF($H392&gt;0,$I392/$H392,"")</f>
      </c>
    </row>
    <row r="393" spans="1:10" x14ac:dyDescent="0.25">
      <c r="A393" s="26">
        <v>46313</v>
      </c>
      <c r="B393" s="27" t="s">
        <v>42</v>
      </c>
      <c r="C393" s="28"/>
      <c r="D393" s="29"/>
      <c r="E393" s="29"/>
      <c r="F393" s="30">
        <f>IF($C393="","",IF($E393="",30,$E393)/60)</f>
      </c>
      <c r="G393" s="30">
        <f>IF($C393="","",(30-IF($E393="",30,$E393))/60)</f>
      </c>
      <c r="H393" s="30">
        <f>IF($C393="",0,IF(IFERROR(VLOOKUP($C393,Setup!$A$2:$B$60,2,FALSE),"N")="Y",$F393,0))</f>
      </c>
      <c r="I393" s="31">
        <f>IF($C393="",0,IF(IFERROR(VLOOKUP($C393,Setup!$A$2:$B$60,2,FALSE),"N")="Y",N($D393),0))</f>
      </c>
      <c r="J393" s="30">
        <f>IF($H393&gt;0,$I393/$H393,"")</f>
      </c>
    </row>
    <row r="394" spans="1:10" x14ac:dyDescent="0.25">
      <c r="A394" s="33">
        <v>46313</v>
      </c>
      <c r="B394" s="34" t="s">
        <v>43</v>
      </c>
      <c r="C394" s="35"/>
      <c r="D394" s="36"/>
      <c r="E394" s="36"/>
      <c r="F394" s="37">
        <f>IF($C394="","",IF($E394="",30,$E394)/60)</f>
      </c>
      <c r="G394" s="37">
        <f>IF($C394="","",(30-IF($E394="",30,$E394))/60)</f>
      </c>
      <c r="H394" s="37">
        <f>IF($C394="",0,IF(IFERROR(VLOOKUP($C394,Setup!$A$2:$B$60,2,FALSE),"N")="Y",$F394,0))</f>
      </c>
      <c r="I394" s="38">
        <f>IF($C394="",0,IF(IFERROR(VLOOKUP($C394,Setup!$A$2:$B$60,2,FALSE),"N")="Y",N($D394),0))</f>
      </c>
      <c r="J394" s="37">
        <f>IF($H394&gt;0,$I394/$H394,"")</f>
      </c>
    </row>
    <row r="395" spans="2:10" x14ac:dyDescent="0.25">
      <c r="B395" s="39" t="s">
        <v>44</v>
      </c>
      <c r="C395" s="40"/>
      <c r="D395" s="41">
        <f>SUM(I377:I394)</f>
      </c>
      <c r="E395" s="40"/>
      <c r="F395" s="42">
        <f>SUM(F377:F394)</f>
      </c>
      <c r="G395" s="42">
        <f>SUM(G377:G394)</f>
      </c>
      <c r="H395" s="42">
        <f>SUM(H377:H394)</f>
      </c>
      <c r="I395" s="40"/>
      <c r="J395" s="42">
        <f>IF(H395&gt;0,D395/H395,"")</f>
      </c>
    </row>
    <row r="397" ht="26" customHeight="1" spans="2:10" x14ac:dyDescent="0.25">
      <c r="B397" s="21">
        <v>46314</v>
      </c>
      <c r="C397" s="21"/>
      <c r="D397" s="21"/>
      <c r="E397" s="22" t="s">
        <v>21</v>
      </c>
      <c r="F397" s="22"/>
      <c r="G397" s="22"/>
      <c r="H397" s="22"/>
      <c r="I397" s="22"/>
      <c r="J397" s="22"/>
    </row>
    <row r="398" ht="18" customHeight="1" spans="2:10" x14ac:dyDescent="0.25">
      <c r="B398" s="23" t="s">
        <v>22</v>
      </c>
      <c r="C398" s="23" t="s">
        <v>19</v>
      </c>
      <c r="D398" s="24" t="s">
        <v>4</v>
      </c>
      <c r="E398" s="24" t="s">
        <v>23</v>
      </c>
      <c r="F398" s="25" t="s">
        <v>13</v>
      </c>
      <c r="G398" s="25" t="s">
        <v>24</v>
      </c>
      <c r="H398" s="25" t="s">
        <v>25</v>
      </c>
      <c r="I398" s="25" t="s">
        <v>4</v>
      </c>
      <c r="J398" s="25" t="s">
        <v>14</v>
      </c>
    </row>
    <row r="399" spans="1:11" x14ac:dyDescent="0.25">
      <c r="A399" s="26">
        <v>46314</v>
      </c>
      <c r="B399" s="27" t="s">
        <v>26</v>
      </c>
      <c r="C399" s="28"/>
      <c r="D399" s="29"/>
      <c r="E399" s="29"/>
      <c r="F399" s="30">
        <f>IF($C399="","",IF($E399="",30,$E399)/60)</f>
      </c>
      <c r="G399" s="30">
        <f>IF($C399="","",(30-IF($E399="",30,$E399))/60)</f>
      </c>
      <c r="H399" s="30">
        <f>IF($C399="",0,IF(IFERROR(VLOOKUP($C399,Setup!$A$2:$B$60,2,FALSE),"N")="Y",$F399,0))</f>
      </c>
      <c r="I399" s="31">
        <f>IF($C399="",0,IF(IFERROR(VLOOKUP($C399,Setup!$A$2:$B$60,2,FALSE),"N")="Y",N($D399),0))</f>
      </c>
      <c r="J399" s="30">
        <f>IF($H399&gt;0,$I399/$H399,"")</f>
      </c>
      <c r="K399" s="32">
        <f>IF($F417&gt;0,9,0)</f>
      </c>
    </row>
    <row r="400" spans="1:10" x14ac:dyDescent="0.25">
      <c r="A400" s="33">
        <v>46314</v>
      </c>
      <c r="B400" s="34" t="s">
        <v>27</v>
      </c>
      <c r="C400" s="35"/>
      <c r="D400" s="36"/>
      <c r="E400" s="36"/>
      <c r="F400" s="37">
        <f>IF($C400="","",IF($E400="",30,$E400)/60)</f>
      </c>
      <c r="G400" s="37">
        <f>IF($C400="","",(30-IF($E400="",30,$E400))/60)</f>
      </c>
      <c r="H400" s="37">
        <f>IF($C400="",0,IF(IFERROR(VLOOKUP($C400,Setup!$A$2:$B$60,2,FALSE),"N")="Y",$F400,0))</f>
      </c>
      <c r="I400" s="38">
        <f>IF($C400="",0,IF(IFERROR(VLOOKUP($C400,Setup!$A$2:$B$60,2,FALSE),"N")="Y",N($D400),0))</f>
      </c>
      <c r="J400" s="37">
        <f>IF($H400&gt;0,$I400/$H400,"")</f>
      </c>
    </row>
    <row r="401" spans="1:10" x14ac:dyDescent="0.25">
      <c r="A401" s="26">
        <v>46314</v>
      </c>
      <c r="B401" s="27" t="s">
        <v>28</v>
      </c>
      <c r="C401" s="28"/>
      <c r="D401" s="29"/>
      <c r="E401" s="29"/>
      <c r="F401" s="30">
        <f>IF($C401="","",IF($E401="",30,$E401)/60)</f>
      </c>
      <c r="G401" s="30">
        <f>IF($C401="","",(30-IF($E401="",30,$E401))/60)</f>
      </c>
      <c r="H401" s="30">
        <f>IF($C401="",0,IF(IFERROR(VLOOKUP($C401,Setup!$A$2:$B$60,2,FALSE),"N")="Y",$F401,0))</f>
      </c>
      <c r="I401" s="31">
        <f>IF($C401="",0,IF(IFERROR(VLOOKUP($C401,Setup!$A$2:$B$60,2,FALSE),"N")="Y",N($D401),0))</f>
      </c>
      <c r="J401" s="30">
        <f>IF($H401&gt;0,$I401/$H401,"")</f>
      </c>
    </row>
    <row r="402" spans="1:10" x14ac:dyDescent="0.25">
      <c r="A402" s="33">
        <v>46314</v>
      </c>
      <c r="B402" s="34" t="s">
        <v>29</v>
      </c>
      <c r="C402" s="35"/>
      <c r="D402" s="36"/>
      <c r="E402" s="36"/>
      <c r="F402" s="37">
        <f>IF($C402="","",IF($E402="",30,$E402)/60)</f>
      </c>
      <c r="G402" s="37">
        <f>IF($C402="","",(30-IF($E402="",30,$E402))/60)</f>
      </c>
      <c r="H402" s="37">
        <f>IF($C402="",0,IF(IFERROR(VLOOKUP($C402,Setup!$A$2:$B$60,2,FALSE),"N")="Y",$F402,0))</f>
      </c>
      <c r="I402" s="38">
        <f>IF($C402="",0,IF(IFERROR(VLOOKUP($C402,Setup!$A$2:$B$60,2,FALSE),"N")="Y",N($D402),0))</f>
      </c>
      <c r="J402" s="37">
        <f>IF($H402&gt;0,$I402/$H402,"")</f>
      </c>
    </row>
    <row r="403" spans="1:10" x14ac:dyDescent="0.25">
      <c r="A403" s="26">
        <v>46314</v>
      </c>
      <c r="B403" s="27" t="s">
        <v>30</v>
      </c>
      <c r="C403" s="28"/>
      <c r="D403" s="29"/>
      <c r="E403" s="29"/>
      <c r="F403" s="30">
        <f>IF($C403="","",IF($E403="",30,$E403)/60)</f>
      </c>
      <c r="G403" s="30">
        <f>IF($C403="","",(30-IF($E403="",30,$E403))/60)</f>
      </c>
      <c r="H403" s="30">
        <f>IF($C403="",0,IF(IFERROR(VLOOKUP($C403,Setup!$A$2:$B$60,2,FALSE),"N")="Y",$F403,0))</f>
      </c>
      <c r="I403" s="31">
        <f>IF($C403="",0,IF(IFERROR(VLOOKUP($C403,Setup!$A$2:$B$60,2,FALSE),"N")="Y",N($D403),0))</f>
      </c>
      <c r="J403" s="30">
        <f>IF($H403&gt;0,$I403/$H403,"")</f>
      </c>
    </row>
    <row r="404" spans="1:10" x14ac:dyDescent="0.25">
      <c r="A404" s="33">
        <v>46314</v>
      </c>
      <c r="B404" s="34" t="s">
        <v>31</v>
      </c>
      <c r="C404" s="35"/>
      <c r="D404" s="36"/>
      <c r="E404" s="36"/>
      <c r="F404" s="37">
        <f>IF($C404="","",IF($E404="",30,$E404)/60)</f>
      </c>
      <c r="G404" s="37">
        <f>IF($C404="","",(30-IF($E404="",30,$E404))/60)</f>
      </c>
      <c r="H404" s="37">
        <f>IF($C404="",0,IF(IFERROR(VLOOKUP($C404,Setup!$A$2:$B$60,2,FALSE),"N")="Y",$F404,0))</f>
      </c>
      <c r="I404" s="38">
        <f>IF($C404="",0,IF(IFERROR(VLOOKUP($C404,Setup!$A$2:$B$60,2,FALSE),"N")="Y",N($D404),0))</f>
      </c>
      <c r="J404" s="37">
        <f>IF($H404&gt;0,$I404/$H404,"")</f>
      </c>
    </row>
    <row r="405" spans="1:10" x14ac:dyDescent="0.25">
      <c r="A405" s="26">
        <v>46314</v>
      </c>
      <c r="B405" s="27" t="s">
        <v>32</v>
      </c>
      <c r="C405" s="28"/>
      <c r="D405" s="29"/>
      <c r="E405" s="29"/>
      <c r="F405" s="30">
        <f>IF($C405="","",IF($E405="",30,$E405)/60)</f>
      </c>
      <c r="G405" s="30">
        <f>IF($C405="","",(30-IF($E405="",30,$E405))/60)</f>
      </c>
      <c r="H405" s="30">
        <f>IF($C405="",0,IF(IFERROR(VLOOKUP($C405,Setup!$A$2:$B$60,2,FALSE),"N")="Y",$F405,0))</f>
      </c>
      <c r="I405" s="31">
        <f>IF($C405="",0,IF(IFERROR(VLOOKUP($C405,Setup!$A$2:$B$60,2,FALSE),"N")="Y",N($D405),0))</f>
      </c>
      <c r="J405" s="30">
        <f>IF($H405&gt;0,$I405/$H405,"")</f>
      </c>
    </row>
    <row r="406" spans="1:10" x14ac:dyDescent="0.25">
      <c r="A406" s="33">
        <v>46314</v>
      </c>
      <c r="B406" s="34" t="s">
        <v>33</v>
      </c>
      <c r="C406" s="35"/>
      <c r="D406" s="36"/>
      <c r="E406" s="36"/>
      <c r="F406" s="37">
        <f>IF($C406="","",IF($E406="",30,$E406)/60)</f>
      </c>
      <c r="G406" s="37">
        <f>IF($C406="","",(30-IF($E406="",30,$E406))/60)</f>
      </c>
      <c r="H406" s="37">
        <f>IF($C406="",0,IF(IFERROR(VLOOKUP($C406,Setup!$A$2:$B$60,2,FALSE),"N")="Y",$F406,0))</f>
      </c>
      <c r="I406" s="38">
        <f>IF($C406="",0,IF(IFERROR(VLOOKUP($C406,Setup!$A$2:$B$60,2,FALSE),"N")="Y",N($D406),0))</f>
      </c>
      <c r="J406" s="37">
        <f>IF($H406&gt;0,$I406/$H406,"")</f>
      </c>
    </row>
    <row r="407" spans="1:10" x14ac:dyDescent="0.25">
      <c r="A407" s="26">
        <v>46314</v>
      </c>
      <c r="B407" s="27" t="s">
        <v>34</v>
      </c>
      <c r="C407" s="28"/>
      <c r="D407" s="29"/>
      <c r="E407" s="29"/>
      <c r="F407" s="30">
        <f>IF($C407="","",IF($E407="",30,$E407)/60)</f>
      </c>
      <c r="G407" s="30">
        <f>IF($C407="","",(30-IF($E407="",30,$E407))/60)</f>
      </c>
      <c r="H407" s="30">
        <f>IF($C407="",0,IF(IFERROR(VLOOKUP($C407,Setup!$A$2:$B$60,2,FALSE),"N")="Y",$F407,0))</f>
      </c>
      <c r="I407" s="31">
        <f>IF($C407="",0,IF(IFERROR(VLOOKUP($C407,Setup!$A$2:$B$60,2,FALSE),"N")="Y",N($D407),0))</f>
      </c>
      <c r="J407" s="30">
        <f>IF($H407&gt;0,$I407/$H407,"")</f>
      </c>
    </row>
    <row r="408" spans="1:10" x14ac:dyDescent="0.25">
      <c r="A408" s="33">
        <v>46314</v>
      </c>
      <c r="B408" s="34" t="s">
        <v>35</v>
      </c>
      <c r="C408" s="35"/>
      <c r="D408" s="36"/>
      <c r="E408" s="36"/>
      <c r="F408" s="37">
        <f>IF($C408="","",IF($E408="",30,$E408)/60)</f>
      </c>
      <c r="G408" s="37">
        <f>IF($C408="","",(30-IF($E408="",30,$E408))/60)</f>
      </c>
      <c r="H408" s="37">
        <f>IF($C408="",0,IF(IFERROR(VLOOKUP($C408,Setup!$A$2:$B$60,2,FALSE),"N")="Y",$F408,0))</f>
      </c>
      <c r="I408" s="38">
        <f>IF($C408="",0,IF(IFERROR(VLOOKUP($C408,Setup!$A$2:$B$60,2,FALSE),"N")="Y",N($D408),0))</f>
      </c>
      <c r="J408" s="37">
        <f>IF($H408&gt;0,$I408/$H408,"")</f>
      </c>
    </row>
    <row r="409" spans="1:10" x14ac:dyDescent="0.25">
      <c r="A409" s="26">
        <v>46314</v>
      </c>
      <c r="B409" s="27" t="s">
        <v>36</v>
      </c>
      <c r="C409" s="28"/>
      <c r="D409" s="29"/>
      <c r="E409" s="29"/>
      <c r="F409" s="30">
        <f>IF($C409="","",IF($E409="",30,$E409)/60)</f>
      </c>
      <c r="G409" s="30">
        <f>IF($C409="","",(30-IF($E409="",30,$E409))/60)</f>
      </c>
      <c r="H409" s="30">
        <f>IF($C409="",0,IF(IFERROR(VLOOKUP($C409,Setup!$A$2:$B$60,2,FALSE),"N")="Y",$F409,0))</f>
      </c>
      <c r="I409" s="31">
        <f>IF($C409="",0,IF(IFERROR(VLOOKUP($C409,Setup!$A$2:$B$60,2,FALSE),"N")="Y",N($D409),0))</f>
      </c>
      <c r="J409" s="30">
        <f>IF($H409&gt;0,$I409/$H409,"")</f>
      </c>
    </row>
    <row r="410" spans="1:10" x14ac:dyDescent="0.25">
      <c r="A410" s="33">
        <v>46314</v>
      </c>
      <c r="B410" s="34" t="s">
        <v>37</v>
      </c>
      <c r="C410" s="35"/>
      <c r="D410" s="36"/>
      <c r="E410" s="36"/>
      <c r="F410" s="37">
        <f>IF($C410="","",IF($E410="",30,$E410)/60)</f>
      </c>
      <c r="G410" s="37">
        <f>IF($C410="","",(30-IF($E410="",30,$E410))/60)</f>
      </c>
      <c r="H410" s="37">
        <f>IF($C410="",0,IF(IFERROR(VLOOKUP($C410,Setup!$A$2:$B$60,2,FALSE),"N")="Y",$F410,0))</f>
      </c>
      <c r="I410" s="38">
        <f>IF($C410="",0,IF(IFERROR(VLOOKUP($C410,Setup!$A$2:$B$60,2,FALSE),"N")="Y",N($D410),0))</f>
      </c>
      <c r="J410" s="37">
        <f>IF($H410&gt;0,$I410/$H410,"")</f>
      </c>
    </row>
    <row r="411" spans="1:10" x14ac:dyDescent="0.25">
      <c r="A411" s="26">
        <v>46314</v>
      </c>
      <c r="B411" s="27" t="s">
        <v>38</v>
      </c>
      <c r="C411" s="28"/>
      <c r="D411" s="29"/>
      <c r="E411" s="29"/>
      <c r="F411" s="30">
        <f>IF($C411="","",IF($E411="",30,$E411)/60)</f>
      </c>
      <c r="G411" s="30">
        <f>IF($C411="","",(30-IF($E411="",30,$E411))/60)</f>
      </c>
      <c r="H411" s="30">
        <f>IF($C411="",0,IF(IFERROR(VLOOKUP($C411,Setup!$A$2:$B$60,2,FALSE),"N")="Y",$F411,0))</f>
      </c>
      <c r="I411" s="31">
        <f>IF($C411="",0,IF(IFERROR(VLOOKUP($C411,Setup!$A$2:$B$60,2,FALSE),"N")="Y",N($D411),0))</f>
      </c>
      <c r="J411" s="30">
        <f>IF($H411&gt;0,$I411/$H411,"")</f>
      </c>
    </row>
    <row r="412" spans="1:10" x14ac:dyDescent="0.25">
      <c r="A412" s="33">
        <v>46314</v>
      </c>
      <c r="B412" s="34" t="s">
        <v>39</v>
      </c>
      <c r="C412" s="35"/>
      <c r="D412" s="36"/>
      <c r="E412" s="36"/>
      <c r="F412" s="37">
        <f>IF($C412="","",IF($E412="",30,$E412)/60)</f>
      </c>
      <c r="G412" s="37">
        <f>IF($C412="","",(30-IF($E412="",30,$E412))/60)</f>
      </c>
      <c r="H412" s="37">
        <f>IF($C412="",0,IF(IFERROR(VLOOKUP($C412,Setup!$A$2:$B$60,2,FALSE),"N")="Y",$F412,0))</f>
      </c>
      <c r="I412" s="38">
        <f>IF($C412="",0,IF(IFERROR(VLOOKUP($C412,Setup!$A$2:$B$60,2,FALSE),"N")="Y",N($D412),0))</f>
      </c>
      <c r="J412" s="37">
        <f>IF($H412&gt;0,$I412/$H412,"")</f>
      </c>
    </row>
    <row r="413" spans="1:10" x14ac:dyDescent="0.25">
      <c r="A413" s="26">
        <v>46314</v>
      </c>
      <c r="B413" s="27" t="s">
        <v>40</v>
      </c>
      <c r="C413" s="28"/>
      <c r="D413" s="29"/>
      <c r="E413" s="29"/>
      <c r="F413" s="30">
        <f>IF($C413="","",IF($E413="",30,$E413)/60)</f>
      </c>
      <c r="G413" s="30">
        <f>IF($C413="","",(30-IF($E413="",30,$E413))/60)</f>
      </c>
      <c r="H413" s="30">
        <f>IF($C413="",0,IF(IFERROR(VLOOKUP($C413,Setup!$A$2:$B$60,2,FALSE),"N")="Y",$F413,0))</f>
      </c>
      <c r="I413" s="31">
        <f>IF($C413="",0,IF(IFERROR(VLOOKUP($C413,Setup!$A$2:$B$60,2,FALSE),"N")="Y",N($D413),0))</f>
      </c>
      <c r="J413" s="30">
        <f>IF($H413&gt;0,$I413/$H413,"")</f>
      </c>
    </row>
    <row r="414" spans="1:10" x14ac:dyDescent="0.25">
      <c r="A414" s="33">
        <v>46314</v>
      </c>
      <c r="B414" s="34" t="s">
        <v>41</v>
      </c>
      <c r="C414" s="35"/>
      <c r="D414" s="36"/>
      <c r="E414" s="36"/>
      <c r="F414" s="37">
        <f>IF($C414="","",IF($E414="",30,$E414)/60)</f>
      </c>
      <c r="G414" s="37">
        <f>IF($C414="","",(30-IF($E414="",30,$E414))/60)</f>
      </c>
      <c r="H414" s="37">
        <f>IF($C414="",0,IF(IFERROR(VLOOKUP($C414,Setup!$A$2:$B$60,2,FALSE),"N")="Y",$F414,0))</f>
      </c>
      <c r="I414" s="38">
        <f>IF($C414="",0,IF(IFERROR(VLOOKUP($C414,Setup!$A$2:$B$60,2,FALSE),"N")="Y",N($D414),0))</f>
      </c>
      <c r="J414" s="37">
        <f>IF($H414&gt;0,$I414/$H414,"")</f>
      </c>
    </row>
    <row r="415" spans="1:10" x14ac:dyDescent="0.25">
      <c r="A415" s="26">
        <v>46314</v>
      </c>
      <c r="B415" s="27" t="s">
        <v>42</v>
      </c>
      <c r="C415" s="28"/>
      <c r="D415" s="29"/>
      <c r="E415" s="29"/>
      <c r="F415" s="30">
        <f>IF($C415="","",IF($E415="",30,$E415)/60)</f>
      </c>
      <c r="G415" s="30">
        <f>IF($C415="","",(30-IF($E415="",30,$E415))/60)</f>
      </c>
      <c r="H415" s="30">
        <f>IF($C415="",0,IF(IFERROR(VLOOKUP($C415,Setup!$A$2:$B$60,2,FALSE),"N")="Y",$F415,0))</f>
      </c>
      <c r="I415" s="31">
        <f>IF($C415="",0,IF(IFERROR(VLOOKUP($C415,Setup!$A$2:$B$60,2,FALSE),"N")="Y",N($D415),0))</f>
      </c>
      <c r="J415" s="30">
        <f>IF($H415&gt;0,$I415/$H415,"")</f>
      </c>
    </row>
    <row r="416" spans="1:10" x14ac:dyDescent="0.25">
      <c r="A416" s="33">
        <v>46314</v>
      </c>
      <c r="B416" s="34" t="s">
        <v>43</v>
      </c>
      <c r="C416" s="35"/>
      <c r="D416" s="36"/>
      <c r="E416" s="36"/>
      <c r="F416" s="37">
        <f>IF($C416="","",IF($E416="",30,$E416)/60)</f>
      </c>
      <c r="G416" s="37">
        <f>IF($C416="","",(30-IF($E416="",30,$E416))/60)</f>
      </c>
      <c r="H416" s="37">
        <f>IF($C416="",0,IF(IFERROR(VLOOKUP($C416,Setup!$A$2:$B$60,2,FALSE),"N")="Y",$F416,0))</f>
      </c>
      <c r="I416" s="38">
        <f>IF($C416="",0,IF(IFERROR(VLOOKUP($C416,Setup!$A$2:$B$60,2,FALSE),"N")="Y",N($D416),0))</f>
      </c>
      <c r="J416" s="37">
        <f>IF($H416&gt;0,$I416/$H416,"")</f>
      </c>
    </row>
    <row r="417" spans="2:10" x14ac:dyDescent="0.25">
      <c r="B417" s="39" t="s">
        <v>44</v>
      </c>
      <c r="C417" s="40"/>
      <c r="D417" s="41">
        <f>SUM(I399:I416)</f>
      </c>
      <c r="E417" s="40"/>
      <c r="F417" s="42">
        <f>SUM(F399:F416)</f>
      </c>
      <c r="G417" s="42">
        <f>SUM(G399:G416)</f>
      </c>
      <c r="H417" s="42">
        <f>SUM(H399:H416)</f>
      </c>
      <c r="I417" s="40"/>
      <c r="J417" s="42">
        <f>IF(H417&gt;0,D417/H417,"")</f>
      </c>
    </row>
    <row r="419" ht="26" customHeight="1" spans="2:10" x14ac:dyDescent="0.25">
      <c r="B419" s="21">
        <v>46315</v>
      </c>
      <c r="C419" s="21"/>
      <c r="D419" s="21"/>
      <c r="E419" s="22" t="s">
        <v>21</v>
      </c>
      <c r="F419" s="22"/>
      <c r="G419" s="22"/>
      <c r="H419" s="22"/>
      <c r="I419" s="22"/>
      <c r="J419" s="22"/>
    </row>
    <row r="420" ht="18" customHeight="1" spans="2:10" x14ac:dyDescent="0.25">
      <c r="B420" s="23" t="s">
        <v>22</v>
      </c>
      <c r="C420" s="23" t="s">
        <v>19</v>
      </c>
      <c r="D420" s="24" t="s">
        <v>4</v>
      </c>
      <c r="E420" s="24" t="s">
        <v>23</v>
      </c>
      <c r="F420" s="25" t="s">
        <v>13</v>
      </c>
      <c r="G420" s="25" t="s">
        <v>24</v>
      </c>
      <c r="H420" s="25" t="s">
        <v>25</v>
      </c>
      <c r="I420" s="25" t="s">
        <v>4</v>
      </c>
      <c r="J420" s="25" t="s">
        <v>14</v>
      </c>
    </row>
    <row r="421" spans="1:11" x14ac:dyDescent="0.25">
      <c r="A421" s="26">
        <v>46315</v>
      </c>
      <c r="B421" s="27" t="s">
        <v>26</v>
      </c>
      <c r="C421" s="28"/>
      <c r="D421" s="29"/>
      <c r="E421" s="29"/>
      <c r="F421" s="30">
        <f>IF($C421="","",IF($E421="",30,$E421)/60)</f>
      </c>
      <c r="G421" s="30">
        <f>IF($C421="","",(30-IF($E421="",30,$E421))/60)</f>
      </c>
      <c r="H421" s="30">
        <f>IF($C421="",0,IF(IFERROR(VLOOKUP($C421,Setup!$A$2:$B$60,2,FALSE),"N")="Y",$F421,0))</f>
      </c>
      <c r="I421" s="31">
        <f>IF($C421="",0,IF(IFERROR(VLOOKUP($C421,Setup!$A$2:$B$60,2,FALSE),"N")="Y",N($D421),0))</f>
      </c>
      <c r="J421" s="30">
        <f>IF($H421&gt;0,$I421/$H421,"")</f>
      </c>
      <c r="K421" s="32">
        <f>IF($F439&gt;0,9,0)</f>
      </c>
    </row>
    <row r="422" spans="1:10" x14ac:dyDescent="0.25">
      <c r="A422" s="33">
        <v>46315</v>
      </c>
      <c r="B422" s="34" t="s">
        <v>27</v>
      </c>
      <c r="C422" s="35"/>
      <c r="D422" s="36"/>
      <c r="E422" s="36"/>
      <c r="F422" s="37">
        <f>IF($C422="","",IF($E422="",30,$E422)/60)</f>
      </c>
      <c r="G422" s="37">
        <f>IF($C422="","",(30-IF($E422="",30,$E422))/60)</f>
      </c>
      <c r="H422" s="37">
        <f>IF($C422="",0,IF(IFERROR(VLOOKUP($C422,Setup!$A$2:$B$60,2,FALSE),"N")="Y",$F422,0))</f>
      </c>
      <c r="I422" s="38">
        <f>IF($C422="",0,IF(IFERROR(VLOOKUP($C422,Setup!$A$2:$B$60,2,FALSE),"N")="Y",N($D422),0))</f>
      </c>
      <c r="J422" s="37">
        <f>IF($H422&gt;0,$I422/$H422,"")</f>
      </c>
    </row>
    <row r="423" spans="1:10" x14ac:dyDescent="0.25">
      <c r="A423" s="26">
        <v>46315</v>
      </c>
      <c r="B423" s="27" t="s">
        <v>28</v>
      </c>
      <c r="C423" s="28"/>
      <c r="D423" s="29"/>
      <c r="E423" s="29"/>
      <c r="F423" s="30">
        <f>IF($C423="","",IF($E423="",30,$E423)/60)</f>
      </c>
      <c r="G423" s="30">
        <f>IF($C423="","",(30-IF($E423="",30,$E423))/60)</f>
      </c>
      <c r="H423" s="30">
        <f>IF($C423="",0,IF(IFERROR(VLOOKUP($C423,Setup!$A$2:$B$60,2,FALSE),"N")="Y",$F423,0))</f>
      </c>
      <c r="I423" s="31">
        <f>IF($C423="",0,IF(IFERROR(VLOOKUP($C423,Setup!$A$2:$B$60,2,FALSE),"N")="Y",N($D423),0))</f>
      </c>
      <c r="J423" s="30">
        <f>IF($H423&gt;0,$I423/$H423,"")</f>
      </c>
    </row>
    <row r="424" spans="1:10" x14ac:dyDescent="0.25">
      <c r="A424" s="33">
        <v>46315</v>
      </c>
      <c r="B424" s="34" t="s">
        <v>29</v>
      </c>
      <c r="C424" s="35"/>
      <c r="D424" s="36"/>
      <c r="E424" s="36"/>
      <c r="F424" s="37">
        <f>IF($C424="","",IF($E424="",30,$E424)/60)</f>
      </c>
      <c r="G424" s="37">
        <f>IF($C424="","",(30-IF($E424="",30,$E424))/60)</f>
      </c>
      <c r="H424" s="37">
        <f>IF($C424="",0,IF(IFERROR(VLOOKUP($C424,Setup!$A$2:$B$60,2,FALSE),"N")="Y",$F424,0))</f>
      </c>
      <c r="I424" s="38">
        <f>IF($C424="",0,IF(IFERROR(VLOOKUP($C424,Setup!$A$2:$B$60,2,FALSE),"N")="Y",N($D424),0))</f>
      </c>
      <c r="J424" s="37">
        <f>IF($H424&gt;0,$I424/$H424,"")</f>
      </c>
    </row>
    <row r="425" spans="1:10" x14ac:dyDescent="0.25">
      <c r="A425" s="26">
        <v>46315</v>
      </c>
      <c r="B425" s="27" t="s">
        <v>30</v>
      </c>
      <c r="C425" s="28"/>
      <c r="D425" s="29"/>
      <c r="E425" s="29"/>
      <c r="F425" s="30">
        <f>IF($C425="","",IF($E425="",30,$E425)/60)</f>
      </c>
      <c r="G425" s="30">
        <f>IF($C425="","",(30-IF($E425="",30,$E425))/60)</f>
      </c>
      <c r="H425" s="30">
        <f>IF($C425="",0,IF(IFERROR(VLOOKUP($C425,Setup!$A$2:$B$60,2,FALSE),"N")="Y",$F425,0))</f>
      </c>
      <c r="I425" s="31">
        <f>IF($C425="",0,IF(IFERROR(VLOOKUP($C425,Setup!$A$2:$B$60,2,FALSE),"N")="Y",N($D425),0))</f>
      </c>
      <c r="J425" s="30">
        <f>IF($H425&gt;0,$I425/$H425,"")</f>
      </c>
    </row>
    <row r="426" spans="1:10" x14ac:dyDescent="0.25">
      <c r="A426" s="33">
        <v>46315</v>
      </c>
      <c r="B426" s="34" t="s">
        <v>31</v>
      </c>
      <c r="C426" s="35"/>
      <c r="D426" s="36"/>
      <c r="E426" s="36"/>
      <c r="F426" s="37">
        <f>IF($C426="","",IF($E426="",30,$E426)/60)</f>
      </c>
      <c r="G426" s="37">
        <f>IF($C426="","",(30-IF($E426="",30,$E426))/60)</f>
      </c>
      <c r="H426" s="37">
        <f>IF($C426="",0,IF(IFERROR(VLOOKUP($C426,Setup!$A$2:$B$60,2,FALSE),"N")="Y",$F426,0))</f>
      </c>
      <c r="I426" s="38">
        <f>IF($C426="",0,IF(IFERROR(VLOOKUP($C426,Setup!$A$2:$B$60,2,FALSE),"N")="Y",N($D426),0))</f>
      </c>
      <c r="J426" s="37">
        <f>IF($H426&gt;0,$I426/$H426,"")</f>
      </c>
    </row>
    <row r="427" spans="1:10" x14ac:dyDescent="0.25">
      <c r="A427" s="26">
        <v>46315</v>
      </c>
      <c r="B427" s="27" t="s">
        <v>32</v>
      </c>
      <c r="C427" s="28"/>
      <c r="D427" s="29"/>
      <c r="E427" s="29"/>
      <c r="F427" s="30">
        <f>IF($C427="","",IF($E427="",30,$E427)/60)</f>
      </c>
      <c r="G427" s="30">
        <f>IF($C427="","",(30-IF($E427="",30,$E427))/60)</f>
      </c>
      <c r="H427" s="30">
        <f>IF($C427="",0,IF(IFERROR(VLOOKUP($C427,Setup!$A$2:$B$60,2,FALSE),"N")="Y",$F427,0))</f>
      </c>
      <c r="I427" s="31">
        <f>IF($C427="",0,IF(IFERROR(VLOOKUP($C427,Setup!$A$2:$B$60,2,FALSE),"N")="Y",N($D427),0))</f>
      </c>
      <c r="J427" s="30">
        <f>IF($H427&gt;0,$I427/$H427,"")</f>
      </c>
    </row>
    <row r="428" spans="1:10" x14ac:dyDescent="0.25">
      <c r="A428" s="33">
        <v>46315</v>
      </c>
      <c r="B428" s="34" t="s">
        <v>33</v>
      </c>
      <c r="C428" s="35"/>
      <c r="D428" s="36"/>
      <c r="E428" s="36"/>
      <c r="F428" s="37">
        <f>IF($C428="","",IF($E428="",30,$E428)/60)</f>
      </c>
      <c r="G428" s="37">
        <f>IF($C428="","",(30-IF($E428="",30,$E428))/60)</f>
      </c>
      <c r="H428" s="37">
        <f>IF($C428="",0,IF(IFERROR(VLOOKUP($C428,Setup!$A$2:$B$60,2,FALSE),"N")="Y",$F428,0))</f>
      </c>
      <c r="I428" s="38">
        <f>IF($C428="",0,IF(IFERROR(VLOOKUP($C428,Setup!$A$2:$B$60,2,FALSE),"N")="Y",N($D428),0))</f>
      </c>
      <c r="J428" s="37">
        <f>IF($H428&gt;0,$I428/$H428,"")</f>
      </c>
    </row>
    <row r="429" spans="1:10" x14ac:dyDescent="0.25">
      <c r="A429" s="26">
        <v>46315</v>
      </c>
      <c r="B429" s="27" t="s">
        <v>34</v>
      </c>
      <c r="C429" s="28"/>
      <c r="D429" s="29"/>
      <c r="E429" s="29"/>
      <c r="F429" s="30">
        <f>IF($C429="","",IF($E429="",30,$E429)/60)</f>
      </c>
      <c r="G429" s="30">
        <f>IF($C429="","",(30-IF($E429="",30,$E429))/60)</f>
      </c>
      <c r="H429" s="30">
        <f>IF($C429="",0,IF(IFERROR(VLOOKUP($C429,Setup!$A$2:$B$60,2,FALSE),"N")="Y",$F429,0))</f>
      </c>
      <c r="I429" s="31">
        <f>IF($C429="",0,IF(IFERROR(VLOOKUP($C429,Setup!$A$2:$B$60,2,FALSE),"N")="Y",N($D429),0))</f>
      </c>
      <c r="J429" s="30">
        <f>IF($H429&gt;0,$I429/$H429,"")</f>
      </c>
    </row>
    <row r="430" spans="1:10" x14ac:dyDescent="0.25">
      <c r="A430" s="33">
        <v>46315</v>
      </c>
      <c r="B430" s="34" t="s">
        <v>35</v>
      </c>
      <c r="C430" s="35"/>
      <c r="D430" s="36"/>
      <c r="E430" s="36"/>
      <c r="F430" s="37">
        <f>IF($C430="","",IF($E430="",30,$E430)/60)</f>
      </c>
      <c r="G430" s="37">
        <f>IF($C430="","",(30-IF($E430="",30,$E430))/60)</f>
      </c>
      <c r="H430" s="37">
        <f>IF($C430="",0,IF(IFERROR(VLOOKUP($C430,Setup!$A$2:$B$60,2,FALSE),"N")="Y",$F430,0))</f>
      </c>
      <c r="I430" s="38">
        <f>IF($C430="",0,IF(IFERROR(VLOOKUP($C430,Setup!$A$2:$B$60,2,FALSE),"N")="Y",N($D430),0))</f>
      </c>
      <c r="J430" s="37">
        <f>IF($H430&gt;0,$I430/$H430,"")</f>
      </c>
    </row>
    <row r="431" spans="1:10" x14ac:dyDescent="0.25">
      <c r="A431" s="26">
        <v>46315</v>
      </c>
      <c r="B431" s="27" t="s">
        <v>36</v>
      </c>
      <c r="C431" s="28"/>
      <c r="D431" s="29"/>
      <c r="E431" s="29"/>
      <c r="F431" s="30">
        <f>IF($C431="","",IF($E431="",30,$E431)/60)</f>
      </c>
      <c r="G431" s="30">
        <f>IF($C431="","",(30-IF($E431="",30,$E431))/60)</f>
      </c>
      <c r="H431" s="30">
        <f>IF($C431="",0,IF(IFERROR(VLOOKUP($C431,Setup!$A$2:$B$60,2,FALSE),"N")="Y",$F431,0))</f>
      </c>
      <c r="I431" s="31">
        <f>IF($C431="",0,IF(IFERROR(VLOOKUP($C431,Setup!$A$2:$B$60,2,FALSE),"N")="Y",N($D431),0))</f>
      </c>
      <c r="J431" s="30">
        <f>IF($H431&gt;0,$I431/$H431,"")</f>
      </c>
    </row>
    <row r="432" spans="1:10" x14ac:dyDescent="0.25">
      <c r="A432" s="33">
        <v>46315</v>
      </c>
      <c r="B432" s="34" t="s">
        <v>37</v>
      </c>
      <c r="C432" s="35"/>
      <c r="D432" s="36"/>
      <c r="E432" s="36"/>
      <c r="F432" s="37">
        <f>IF($C432="","",IF($E432="",30,$E432)/60)</f>
      </c>
      <c r="G432" s="37">
        <f>IF($C432="","",(30-IF($E432="",30,$E432))/60)</f>
      </c>
      <c r="H432" s="37">
        <f>IF($C432="",0,IF(IFERROR(VLOOKUP($C432,Setup!$A$2:$B$60,2,FALSE),"N")="Y",$F432,0))</f>
      </c>
      <c r="I432" s="38">
        <f>IF($C432="",0,IF(IFERROR(VLOOKUP($C432,Setup!$A$2:$B$60,2,FALSE),"N")="Y",N($D432),0))</f>
      </c>
      <c r="J432" s="37">
        <f>IF($H432&gt;0,$I432/$H432,"")</f>
      </c>
    </row>
    <row r="433" spans="1:10" x14ac:dyDescent="0.25">
      <c r="A433" s="26">
        <v>46315</v>
      </c>
      <c r="B433" s="27" t="s">
        <v>38</v>
      </c>
      <c r="C433" s="28"/>
      <c r="D433" s="29"/>
      <c r="E433" s="29"/>
      <c r="F433" s="30">
        <f>IF($C433="","",IF($E433="",30,$E433)/60)</f>
      </c>
      <c r="G433" s="30">
        <f>IF($C433="","",(30-IF($E433="",30,$E433))/60)</f>
      </c>
      <c r="H433" s="30">
        <f>IF($C433="",0,IF(IFERROR(VLOOKUP($C433,Setup!$A$2:$B$60,2,FALSE),"N")="Y",$F433,0))</f>
      </c>
      <c r="I433" s="31">
        <f>IF($C433="",0,IF(IFERROR(VLOOKUP($C433,Setup!$A$2:$B$60,2,FALSE),"N")="Y",N($D433),0))</f>
      </c>
      <c r="J433" s="30">
        <f>IF($H433&gt;0,$I433/$H433,"")</f>
      </c>
    </row>
    <row r="434" spans="1:10" x14ac:dyDescent="0.25">
      <c r="A434" s="33">
        <v>46315</v>
      </c>
      <c r="B434" s="34" t="s">
        <v>39</v>
      </c>
      <c r="C434" s="35"/>
      <c r="D434" s="36"/>
      <c r="E434" s="36"/>
      <c r="F434" s="37">
        <f>IF($C434="","",IF($E434="",30,$E434)/60)</f>
      </c>
      <c r="G434" s="37">
        <f>IF($C434="","",(30-IF($E434="",30,$E434))/60)</f>
      </c>
      <c r="H434" s="37">
        <f>IF($C434="",0,IF(IFERROR(VLOOKUP($C434,Setup!$A$2:$B$60,2,FALSE),"N")="Y",$F434,0))</f>
      </c>
      <c r="I434" s="38">
        <f>IF($C434="",0,IF(IFERROR(VLOOKUP($C434,Setup!$A$2:$B$60,2,FALSE),"N")="Y",N($D434),0))</f>
      </c>
      <c r="J434" s="37">
        <f>IF($H434&gt;0,$I434/$H434,"")</f>
      </c>
    </row>
    <row r="435" spans="1:10" x14ac:dyDescent="0.25">
      <c r="A435" s="26">
        <v>46315</v>
      </c>
      <c r="B435" s="27" t="s">
        <v>40</v>
      </c>
      <c r="C435" s="28"/>
      <c r="D435" s="29"/>
      <c r="E435" s="29"/>
      <c r="F435" s="30">
        <f>IF($C435="","",IF($E435="",30,$E435)/60)</f>
      </c>
      <c r="G435" s="30">
        <f>IF($C435="","",(30-IF($E435="",30,$E435))/60)</f>
      </c>
      <c r="H435" s="30">
        <f>IF($C435="",0,IF(IFERROR(VLOOKUP($C435,Setup!$A$2:$B$60,2,FALSE),"N")="Y",$F435,0))</f>
      </c>
      <c r="I435" s="31">
        <f>IF($C435="",0,IF(IFERROR(VLOOKUP($C435,Setup!$A$2:$B$60,2,FALSE),"N")="Y",N($D435),0))</f>
      </c>
      <c r="J435" s="30">
        <f>IF($H435&gt;0,$I435/$H435,"")</f>
      </c>
    </row>
    <row r="436" spans="1:10" x14ac:dyDescent="0.25">
      <c r="A436" s="33">
        <v>46315</v>
      </c>
      <c r="B436" s="34" t="s">
        <v>41</v>
      </c>
      <c r="C436" s="35"/>
      <c r="D436" s="36"/>
      <c r="E436" s="36"/>
      <c r="F436" s="37">
        <f>IF($C436="","",IF($E436="",30,$E436)/60)</f>
      </c>
      <c r="G436" s="37">
        <f>IF($C436="","",(30-IF($E436="",30,$E436))/60)</f>
      </c>
      <c r="H436" s="37">
        <f>IF($C436="",0,IF(IFERROR(VLOOKUP($C436,Setup!$A$2:$B$60,2,FALSE),"N")="Y",$F436,0))</f>
      </c>
      <c r="I436" s="38">
        <f>IF($C436="",0,IF(IFERROR(VLOOKUP($C436,Setup!$A$2:$B$60,2,FALSE),"N")="Y",N($D436),0))</f>
      </c>
      <c r="J436" s="37">
        <f>IF($H436&gt;0,$I436/$H436,"")</f>
      </c>
    </row>
    <row r="437" spans="1:10" x14ac:dyDescent="0.25">
      <c r="A437" s="26">
        <v>46315</v>
      </c>
      <c r="B437" s="27" t="s">
        <v>42</v>
      </c>
      <c r="C437" s="28"/>
      <c r="D437" s="29"/>
      <c r="E437" s="29"/>
      <c r="F437" s="30">
        <f>IF($C437="","",IF($E437="",30,$E437)/60)</f>
      </c>
      <c r="G437" s="30">
        <f>IF($C437="","",(30-IF($E437="",30,$E437))/60)</f>
      </c>
      <c r="H437" s="30">
        <f>IF($C437="",0,IF(IFERROR(VLOOKUP($C437,Setup!$A$2:$B$60,2,FALSE),"N")="Y",$F437,0))</f>
      </c>
      <c r="I437" s="31">
        <f>IF($C437="",0,IF(IFERROR(VLOOKUP($C437,Setup!$A$2:$B$60,2,FALSE),"N")="Y",N($D437),0))</f>
      </c>
      <c r="J437" s="30">
        <f>IF($H437&gt;0,$I437/$H437,"")</f>
      </c>
    </row>
    <row r="438" spans="1:10" x14ac:dyDescent="0.25">
      <c r="A438" s="33">
        <v>46315</v>
      </c>
      <c r="B438" s="34" t="s">
        <v>43</v>
      </c>
      <c r="C438" s="35"/>
      <c r="D438" s="36"/>
      <c r="E438" s="36"/>
      <c r="F438" s="37">
        <f>IF($C438="","",IF($E438="",30,$E438)/60)</f>
      </c>
      <c r="G438" s="37">
        <f>IF($C438="","",(30-IF($E438="",30,$E438))/60)</f>
      </c>
      <c r="H438" s="37">
        <f>IF($C438="",0,IF(IFERROR(VLOOKUP($C438,Setup!$A$2:$B$60,2,FALSE),"N")="Y",$F438,0))</f>
      </c>
      <c r="I438" s="38">
        <f>IF($C438="",0,IF(IFERROR(VLOOKUP($C438,Setup!$A$2:$B$60,2,FALSE),"N")="Y",N($D438),0))</f>
      </c>
      <c r="J438" s="37">
        <f>IF($H438&gt;0,$I438/$H438,"")</f>
      </c>
    </row>
    <row r="439" spans="2:10" x14ac:dyDescent="0.25">
      <c r="B439" s="39" t="s">
        <v>44</v>
      </c>
      <c r="C439" s="40"/>
      <c r="D439" s="41">
        <f>SUM(I421:I438)</f>
      </c>
      <c r="E439" s="40"/>
      <c r="F439" s="42">
        <f>SUM(F421:F438)</f>
      </c>
      <c r="G439" s="42">
        <f>SUM(G421:G438)</f>
      </c>
      <c r="H439" s="42">
        <f>SUM(H421:H438)</f>
      </c>
      <c r="I439" s="40"/>
      <c r="J439" s="42">
        <f>IF(H439&gt;0,D439/H439,"")</f>
      </c>
    </row>
    <row r="441" ht="26" customHeight="1" spans="2:10" x14ac:dyDescent="0.25">
      <c r="B441" s="21">
        <v>46316</v>
      </c>
      <c r="C441" s="21"/>
      <c r="D441" s="21"/>
      <c r="E441" s="22" t="s">
        <v>21</v>
      </c>
      <c r="F441" s="22"/>
      <c r="G441" s="22"/>
      <c r="H441" s="22"/>
      <c r="I441" s="22"/>
      <c r="J441" s="22"/>
    </row>
    <row r="442" ht="18" customHeight="1" spans="2:10" x14ac:dyDescent="0.25">
      <c r="B442" s="23" t="s">
        <v>22</v>
      </c>
      <c r="C442" s="23" t="s">
        <v>19</v>
      </c>
      <c r="D442" s="24" t="s">
        <v>4</v>
      </c>
      <c r="E442" s="24" t="s">
        <v>23</v>
      </c>
      <c r="F442" s="25" t="s">
        <v>13</v>
      </c>
      <c r="G442" s="25" t="s">
        <v>24</v>
      </c>
      <c r="H442" s="25" t="s">
        <v>25</v>
      </c>
      <c r="I442" s="25" t="s">
        <v>4</v>
      </c>
      <c r="J442" s="25" t="s">
        <v>14</v>
      </c>
    </row>
    <row r="443" spans="1:11" x14ac:dyDescent="0.25">
      <c r="A443" s="26">
        <v>46316</v>
      </c>
      <c r="B443" s="27" t="s">
        <v>26</v>
      </c>
      <c r="C443" s="28"/>
      <c r="D443" s="29"/>
      <c r="E443" s="29"/>
      <c r="F443" s="30">
        <f>IF($C443="","",IF($E443="",30,$E443)/60)</f>
      </c>
      <c r="G443" s="30">
        <f>IF($C443="","",(30-IF($E443="",30,$E443))/60)</f>
      </c>
      <c r="H443" s="30">
        <f>IF($C443="",0,IF(IFERROR(VLOOKUP($C443,Setup!$A$2:$B$60,2,FALSE),"N")="Y",$F443,0))</f>
      </c>
      <c r="I443" s="31">
        <f>IF($C443="",0,IF(IFERROR(VLOOKUP($C443,Setup!$A$2:$B$60,2,FALSE),"N")="Y",N($D443),0))</f>
      </c>
      <c r="J443" s="30">
        <f>IF($H443&gt;0,$I443/$H443,"")</f>
      </c>
      <c r="K443" s="32">
        <f>IF($F461&gt;0,9,0)</f>
      </c>
    </row>
    <row r="444" spans="1:10" x14ac:dyDescent="0.25">
      <c r="A444" s="33">
        <v>46316</v>
      </c>
      <c r="B444" s="34" t="s">
        <v>27</v>
      </c>
      <c r="C444" s="35"/>
      <c r="D444" s="36"/>
      <c r="E444" s="36"/>
      <c r="F444" s="37">
        <f>IF($C444="","",IF($E444="",30,$E444)/60)</f>
      </c>
      <c r="G444" s="37">
        <f>IF($C444="","",(30-IF($E444="",30,$E444))/60)</f>
      </c>
      <c r="H444" s="37">
        <f>IF($C444="",0,IF(IFERROR(VLOOKUP($C444,Setup!$A$2:$B$60,2,FALSE),"N")="Y",$F444,0))</f>
      </c>
      <c r="I444" s="38">
        <f>IF($C444="",0,IF(IFERROR(VLOOKUP($C444,Setup!$A$2:$B$60,2,FALSE),"N")="Y",N($D444),0))</f>
      </c>
      <c r="J444" s="37">
        <f>IF($H444&gt;0,$I444/$H444,"")</f>
      </c>
    </row>
    <row r="445" spans="1:10" x14ac:dyDescent="0.25">
      <c r="A445" s="26">
        <v>46316</v>
      </c>
      <c r="B445" s="27" t="s">
        <v>28</v>
      </c>
      <c r="C445" s="28"/>
      <c r="D445" s="29"/>
      <c r="E445" s="29"/>
      <c r="F445" s="30">
        <f>IF($C445="","",IF($E445="",30,$E445)/60)</f>
      </c>
      <c r="G445" s="30">
        <f>IF($C445="","",(30-IF($E445="",30,$E445))/60)</f>
      </c>
      <c r="H445" s="30">
        <f>IF($C445="",0,IF(IFERROR(VLOOKUP($C445,Setup!$A$2:$B$60,2,FALSE),"N")="Y",$F445,0))</f>
      </c>
      <c r="I445" s="31">
        <f>IF($C445="",0,IF(IFERROR(VLOOKUP($C445,Setup!$A$2:$B$60,2,FALSE),"N")="Y",N($D445),0))</f>
      </c>
      <c r="J445" s="30">
        <f>IF($H445&gt;0,$I445/$H445,"")</f>
      </c>
    </row>
    <row r="446" spans="1:10" x14ac:dyDescent="0.25">
      <c r="A446" s="33">
        <v>46316</v>
      </c>
      <c r="B446" s="34" t="s">
        <v>29</v>
      </c>
      <c r="C446" s="35"/>
      <c r="D446" s="36"/>
      <c r="E446" s="36"/>
      <c r="F446" s="37">
        <f>IF($C446="","",IF($E446="",30,$E446)/60)</f>
      </c>
      <c r="G446" s="37">
        <f>IF($C446="","",(30-IF($E446="",30,$E446))/60)</f>
      </c>
      <c r="H446" s="37">
        <f>IF($C446="",0,IF(IFERROR(VLOOKUP($C446,Setup!$A$2:$B$60,2,FALSE),"N")="Y",$F446,0))</f>
      </c>
      <c r="I446" s="38">
        <f>IF($C446="",0,IF(IFERROR(VLOOKUP($C446,Setup!$A$2:$B$60,2,FALSE),"N")="Y",N($D446),0))</f>
      </c>
      <c r="J446" s="37">
        <f>IF($H446&gt;0,$I446/$H446,"")</f>
      </c>
    </row>
    <row r="447" spans="1:10" x14ac:dyDescent="0.25">
      <c r="A447" s="26">
        <v>46316</v>
      </c>
      <c r="B447" s="27" t="s">
        <v>30</v>
      </c>
      <c r="C447" s="28"/>
      <c r="D447" s="29"/>
      <c r="E447" s="29"/>
      <c r="F447" s="30">
        <f>IF($C447="","",IF($E447="",30,$E447)/60)</f>
      </c>
      <c r="G447" s="30">
        <f>IF($C447="","",(30-IF($E447="",30,$E447))/60)</f>
      </c>
      <c r="H447" s="30">
        <f>IF($C447="",0,IF(IFERROR(VLOOKUP($C447,Setup!$A$2:$B$60,2,FALSE),"N")="Y",$F447,0))</f>
      </c>
      <c r="I447" s="31">
        <f>IF($C447="",0,IF(IFERROR(VLOOKUP($C447,Setup!$A$2:$B$60,2,FALSE),"N")="Y",N($D447),0))</f>
      </c>
      <c r="J447" s="30">
        <f>IF($H447&gt;0,$I447/$H447,"")</f>
      </c>
    </row>
    <row r="448" spans="1:10" x14ac:dyDescent="0.25">
      <c r="A448" s="33">
        <v>46316</v>
      </c>
      <c r="B448" s="34" t="s">
        <v>31</v>
      </c>
      <c r="C448" s="35"/>
      <c r="D448" s="36"/>
      <c r="E448" s="36"/>
      <c r="F448" s="37">
        <f>IF($C448="","",IF($E448="",30,$E448)/60)</f>
      </c>
      <c r="G448" s="37">
        <f>IF($C448="","",(30-IF($E448="",30,$E448))/60)</f>
      </c>
      <c r="H448" s="37">
        <f>IF($C448="",0,IF(IFERROR(VLOOKUP($C448,Setup!$A$2:$B$60,2,FALSE),"N")="Y",$F448,0))</f>
      </c>
      <c r="I448" s="38">
        <f>IF($C448="",0,IF(IFERROR(VLOOKUP($C448,Setup!$A$2:$B$60,2,FALSE),"N")="Y",N($D448),0))</f>
      </c>
      <c r="J448" s="37">
        <f>IF($H448&gt;0,$I448/$H448,"")</f>
      </c>
    </row>
    <row r="449" spans="1:10" x14ac:dyDescent="0.25">
      <c r="A449" s="26">
        <v>46316</v>
      </c>
      <c r="B449" s="27" t="s">
        <v>32</v>
      </c>
      <c r="C449" s="28"/>
      <c r="D449" s="29"/>
      <c r="E449" s="29"/>
      <c r="F449" s="30">
        <f>IF($C449="","",IF($E449="",30,$E449)/60)</f>
      </c>
      <c r="G449" s="30">
        <f>IF($C449="","",(30-IF($E449="",30,$E449))/60)</f>
      </c>
      <c r="H449" s="30">
        <f>IF($C449="",0,IF(IFERROR(VLOOKUP($C449,Setup!$A$2:$B$60,2,FALSE),"N")="Y",$F449,0))</f>
      </c>
      <c r="I449" s="31">
        <f>IF($C449="",0,IF(IFERROR(VLOOKUP($C449,Setup!$A$2:$B$60,2,FALSE),"N")="Y",N($D449),0))</f>
      </c>
      <c r="J449" s="30">
        <f>IF($H449&gt;0,$I449/$H449,"")</f>
      </c>
    </row>
    <row r="450" spans="1:10" x14ac:dyDescent="0.25">
      <c r="A450" s="33">
        <v>46316</v>
      </c>
      <c r="B450" s="34" t="s">
        <v>33</v>
      </c>
      <c r="C450" s="35"/>
      <c r="D450" s="36"/>
      <c r="E450" s="36"/>
      <c r="F450" s="37">
        <f>IF($C450="","",IF($E450="",30,$E450)/60)</f>
      </c>
      <c r="G450" s="37">
        <f>IF($C450="","",(30-IF($E450="",30,$E450))/60)</f>
      </c>
      <c r="H450" s="37">
        <f>IF($C450="",0,IF(IFERROR(VLOOKUP($C450,Setup!$A$2:$B$60,2,FALSE),"N")="Y",$F450,0))</f>
      </c>
      <c r="I450" s="38">
        <f>IF($C450="",0,IF(IFERROR(VLOOKUP($C450,Setup!$A$2:$B$60,2,FALSE),"N")="Y",N($D450),0))</f>
      </c>
      <c r="J450" s="37">
        <f>IF($H450&gt;0,$I450/$H450,"")</f>
      </c>
    </row>
    <row r="451" spans="1:10" x14ac:dyDescent="0.25">
      <c r="A451" s="26">
        <v>46316</v>
      </c>
      <c r="B451" s="27" t="s">
        <v>34</v>
      </c>
      <c r="C451" s="28"/>
      <c r="D451" s="29"/>
      <c r="E451" s="29"/>
      <c r="F451" s="30">
        <f>IF($C451="","",IF($E451="",30,$E451)/60)</f>
      </c>
      <c r="G451" s="30">
        <f>IF($C451="","",(30-IF($E451="",30,$E451))/60)</f>
      </c>
      <c r="H451" s="30">
        <f>IF($C451="",0,IF(IFERROR(VLOOKUP($C451,Setup!$A$2:$B$60,2,FALSE),"N")="Y",$F451,0))</f>
      </c>
      <c r="I451" s="31">
        <f>IF($C451="",0,IF(IFERROR(VLOOKUP($C451,Setup!$A$2:$B$60,2,FALSE),"N")="Y",N($D451),0))</f>
      </c>
      <c r="J451" s="30">
        <f>IF($H451&gt;0,$I451/$H451,"")</f>
      </c>
    </row>
    <row r="452" spans="1:10" x14ac:dyDescent="0.25">
      <c r="A452" s="33">
        <v>46316</v>
      </c>
      <c r="B452" s="34" t="s">
        <v>35</v>
      </c>
      <c r="C452" s="35"/>
      <c r="D452" s="36"/>
      <c r="E452" s="36"/>
      <c r="F452" s="37">
        <f>IF($C452="","",IF($E452="",30,$E452)/60)</f>
      </c>
      <c r="G452" s="37">
        <f>IF($C452="","",(30-IF($E452="",30,$E452))/60)</f>
      </c>
      <c r="H452" s="37">
        <f>IF($C452="",0,IF(IFERROR(VLOOKUP($C452,Setup!$A$2:$B$60,2,FALSE),"N")="Y",$F452,0))</f>
      </c>
      <c r="I452" s="38">
        <f>IF($C452="",0,IF(IFERROR(VLOOKUP($C452,Setup!$A$2:$B$60,2,FALSE),"N")="Y",N($D452),0))</f>
      </c>
      <c r="J452" s="37">
        <f>IF($H452&gt;0,$I452/$H452,"")</f>
      </c>
    </row>
    <row r="453" spans="1:10" x14ac:dyDescent="0.25">
      <c r="A453" s="26">
        <v>46316</v>
      </c>
      <c r="B453" s="27" t="s">
        <v>36</v>
      </c>
      <c r="C453" s="28"/>
      <c r="D453" s="29"/>
      <c r="E453" s="29"/>
      <c r="F453" s="30">
        <f>IF($C453="","",IF($E453="",30,$E453)/60)</f>
      </c>
      <c r="G453" s="30">
        <f>IF($C453="","",(30-IF($E453="",30,$E453))/60)</f>
      </c>
      <c r="H453" s="30">
        <f>IF($C453="",0,IF(IFERROR(VLOOKUP($C453,Setup!$A$2:$B$60,2,FALSE),"N")="Y",$F453,0))</f>
      </c>
      <c r="I453" s="31">
        <f>IF($C453="",0,IF(IFERROR(VLOOKUP($C453,Setup!$A$2:$B$60,2,FALSE),"N")="Y",N($D453),0))</f>
      </c>
      <c r="J453" s="30">
        <f>IF($H453&gt;0,$I453/$H453,"")</f>
      </c>
    </row>
    <row r="454" spans="1:10" x14ac:dyDescent="0.25">
      <c r="A454" s="33">
        <v>46316</v>
      </c>
      <c r="B454" s="34" t="s">
        <v>37</v>
      </c>
      <c r="C454" s="35"/>
      <c r="D454" s="36"/>
      <c r="E454" s="36"/>
      <c r="F454" s="37">
        <f>IF($C454="","",IF($E454="",30,$E454)/60)</f>
      </c>
      <c r="G454" s="37">
        <f>IF($C454="","",(30-IF($E454="",30,$E454))/60)</f>
      </c>
      <c r="H454" s="37">
        <f>IF($C454="",0,IF(IFERROR(VLOOKUP($C454,Setup!$A$2:$B$60,2,FALSE),"N")="Y",$F454,0))</f>
      </c>
      <c r="I454" s="38">
        <f>IF($C454="",0,IF(IFERROR(VLOOKUP($C454,Setup!$A$2:$B$60,2,FALSE),"N")="Y",N($D454),0))</f>
      </c>
      <c r="J454" s="37">
        <f>IF($H454&gt;0,$I454/$H454,"")</f>
      </c>
    </row>
    <row r="455" spans="1:10" x14ac:dyDescent="0.25">
      <c r="A455" s="26">
        <v>46316</v>
      </c>
      <c r="B455" s="27" t="s">
        <v>38</v>
      </c>
      <c r="C455" s="28"/>
      <c r="D455" s="29"/>
      <c r="E455" s="29"/>
      <c r="F455" s="30">
        <f>IF($C455="","",IF($E455="",30,$E455)/60)</f>
      </c>
      <c r="G455" s="30">
        <f>IF($C455="","",(30-IF($E455="",30,$E455))/60)</f>
      </c>
      <c r="H455" s="30">
        <f>IF($C455="",0,IF(IFERROR(VLOOKUP($C455,Setup!$A$2:$B$60,2,FALSE),"N")="Y",$F455,0))</f>
      </c>
      <c r="I455" s="31">
        <f>IF($C455="",0,IF(IFERROR(VLOOKUP($C455,Setup!$A$2:$B$60,2,FALSE),"N")="Y",N($D455),0))</f>
      </c>
      <c r="J455" s="30">
        <f>IF($H455&gt;0,$I455/$H455,"")</f>
      </c>
    </row>
    <row r="456" spans="1:10" x14ac:dyDescent="0.25">
      <c r="A456" s="33">
        <v>46316</v>
      </c>
      <c r="B456" s="34" t="s">
        <v>39</v>
      </c>
      <c r="C456" s="35"/>
      <c r="D456" s="36"/>
      <c r="E456" s="36"/>
      <c r="F456" s="37">
        <f>IF($C456="","",IF($E456="",30,$E456)/60)</f>
      </c>
      <c r="G456" s="37">
        <f>IF($C456="","",(30-IF($E456="",30,$E456))/60)</f>
      </c>
      <c r="H456" s="37">
        <f>IF($C456="",0,IF(IFERROR(VLOOKUP($C456,Setup!$A$2:$B$60,2,FALSE),"N")="Y",$F456,0))</f>
      </c>
      <c r="I456" s="38">
        <f>IF($C456="",0,IF(IFERROR(VLOOKUP($C456,Setup!$A$2:$B$60,2,FALSE),"N")="Y",N($D456),0))</f>
      </c>
      <c r="J456" s="37">
        <f>IF($H456&gt;0,$I456/$H456,"")</f>
      </c>
    </row>
    <row r="457" spans="1:10" x14ac:dyDescent="0.25">
      <c r="A457" s="26">
        <v>46316</v>
      </c>
      <c r="B457" s="27" t="s">
        <v>40</v>
      </c>
      <c r="C457" s="28"/>
      <c r="D457" s="29"/>
      <c r="E457" s="29"/>
      <c r="F457" s="30">
        <f>IF($C457="","",IF($E457="",30,$E457)/60)</f>
      </c>
      <c r="G457" s="30">
        <f>IF($C457="","",(30-IF($E457="",30,$E457))/60)</f>
      </c>
      <c r="H457" s="30">
        <f>IF($C457="",0,IF(IFERROR(VLOOKUP($C457,Setup!$A$2:$B$60,2,FALSE),"N")="Y",$F457,0))</f>
      </c>
      <c r="I457" s="31">
        <f>IF($C457="",0,IF(IFERROR(VLOOKUP($C457,Setup!$A$2:$B$60,2,FALSE),"N")="Y",N($D457),0))</f>
      </c>
      <c r="J457" s="30">
        <f>IF($H457&gt;0,$I457/$H457,"")</f>
      </c>
    </row>
    <row r="458" spans="1:10" x14ac:dyDescent="0.25">
      <c r="A458" s="33">
        <v>46316</v>
      </c>
      <c r="B458" s="34" t="s">
        <v>41</v>
      </c>
      <c r="C458" s="35"/>
      <c r="D458" s="36"/>
      <c r="E458" s="36"/>
      <c r="F458" s="37">
        <f>IF($C458="","",IF($E458="",30,$E458)/60)</f>
      </c>
      <c r="G458" s="37">
        <f>IF($C458="","",(30-IF($E458="",30,$E458))/60)</f>
      </c>
      <c r="H458" s="37">
        <f>IF($C458="",0,IF(IFERROR(VLOOKUP($C458,Setup!$A$2:$B$60,2,FALSE),"N")="Y",$F458,0))</f>
      </c>
      <c r="I458" s="38">
        <f>IF($C458="",0,IF(IFERROR(VLOOKUP($C458,Setup!$A$2:$B$60,2,FALSE),"N")="Y",N($D458),0))</f>
      </c>
      <c r="J458" s="37">
        <f>IF($H458&gt;0,$I458/$H458,"")</f>
      </c>
    </row>
    <row r="459" spans="1:10" x14ac:dyDescent="0.25">
      <c r="A459" s="26">
        <v>46316</v>
      </c>
      <c r="B459" s="27" t="s">
        <v>42</v>
      </c>
      <c r="C459" s="28"/>
      <c r="D459" s="29"/>
      <c r="E459" s="29"/>
      <c r="F459" s="30">
        <f>IF($C459="","",IF($E459="",30,$E459)/60)</f>
      </c>
      <c r="G459" s="30">
        <f>IF($C459="","",(30-IF($E459="",30,$E459))/60)</f>
      </c>
      <c r="H459" s="30">
        <f>IF($C459="",0,IF(IFERROR(VLOOKUP($C459,Setup!$A$2:$B$60,2,FALSE),"N")="Y",$F459,0))</f>
      </c>
      <c r="I459" s="31">
        <f>IF($C459="",0,IF(IFERROR(VLOOKUP($C459,Setup!$A$2:$B$60,2,FALSE),"N")="Y",N($D459),0))</f>
      </c>
      <c r="J459" s="30">
        <f>IF($H459&gt;0,$I459/$H459,"")</f>
      </c>
    </row>
    <row r="460" spans="1:10" x14ac:dyDescent="0.25">
      <c r="A460" s="33">
        <v>46316</v>
      </c>
      <c r="B460" s="34" t="s">
        <v>43</v>
      </c>
      <c r="C460" s="35"/>
      <c r="D460" s="36"/>
      <c r="E460" s="36"/>
      <c r="F460" s="37">
        <f>IF($C460="","",IF($E460="",30,$E460)/60)</f>
      </c>
      <c r="G460" s="37">
        <f>IF($C460="","",(30-IF($E460="",30,$E460))/60)</f>
      </c>
      <c r="H460" s="37">
        <f>IF($C460="",0,IF(IFERROR(VLOOKUP($C460,Setup!$A$2:$B$60,2,FALSE),"N")="Y",$F460,0))</f>
      </c>
      <c r="I460" s="38">
        <f>IF($C460="",0,IF(IFERROR(VLOOKUP($C460,Setup!$A$2:$B$60,2,FALSE),"N")="Y",N($D460),0))</f>
      </c>
      <c r="J460" s="37">
        <f>IF($H460&gt;0,$I460/$H460,"")</f>
      </c>
    </row>
    <row r="461" spans="2:10" x14ac:dyDescent="0.25">
      <c r="B461" s="39" t="s">
        <v>44</v>
      </c>
      <c r="C461" s="40"/>
      <c r="D461" s="41">
        <f>SUM(I443:I460)</f>
      </c>
      <c r="E461" s="40"/>
      <c r="F461" s="42">
        <f>SUM(F443:F460)</f>
      </c>
      <c r="G461" s="42">
        <f>SUM(G443:G460)</f>
      </c>
      <c r="H461" s="42">
        <f>SUM(H443:H460)</f>
      </c>
      <c r="I461" s="40"/>
      <c r="J461" s="42">
        <f>IF(H461&gt;0,D461/H461,"")</f>
      </c>
    </row>
    <row r="463" ht="26" customHeight="1" spans="2:10" x14ac:dyDescent="0.25">
      <c r="B463" s="21">
        <v>46317</v>
      </c>
      <c r="C463" s="21"/>
      <c r="D463" s="21"/>
      <c r="E463" s="22" t="s">
        <v>21</v>
      </c>
      <c r="F463" s="22"/>
      <c r="G463" s="22"/>
      <c r="H463" s="22"/>
      <c r="I463" s="22"/>
      <c r="J463" s="22"/>
    </row>
    <row r="464" ht="18" customHeight="1" spans="2:10" x14ac:dyDescent="0.25">
      <c r="B464" s="23" t="s">
        <v>22</v>
      </c>
      <c r="C464" s="23" t="s">
        <v>19</v>
      </c>
      <c r="D464" s="24" t="s">
        <v>4</v>
      </c>
      <c r="E464" s="24" t="s">
        <v>23</v>
      </c>
      <c r="F464" s="25" t="s">
        <v>13</v>
      </c>
      <c r="G464" s="25" t="s">
        <v>24</v>
      </c>
      <c r="H464" s="25" t="s">
        <v>25</v>
      </c>
      <c r="I464" s="25" t="s">
        <v>4</v>
      </c>
      <c r="J464" s="25" t="s">
        <v>14</v>
      </c>
    </row>
    <row r="465" spans="1:11" x14ac:dyDescent="0.25">
      <c r="A465" s="26">
        <v>46317</v>
      </c>
      <c r="B465" s="27" t="s">
        <v>26</v>
      </c>
      <c r="C465" s="28"/>
      <c r="D465" s="29"/>
      <c r="E465" s="29"/>
      <c r="F465" s="30">
        <f>IF($C465="","",IF($E465="",30,$E465)/60)</f>
      </c>
      <c r="G465" s="30">
        <f>IF($C465="","",(30-IF($E465="",30,$E465))/60)</f>
      </c>
      <c r="H465" s="30">
        <f>IF($C465="",0,IF(IFERROR(VLOOKUP($C465,Setup!$A$2:$B$60,2,FALSE),"N")="Y",$F465,0))</f>
      </c>
      <c r="I465" s="31">
        <f>IF($C465="",0,IF(IFERROR(VLOOKUP($C465,Setup!$A$2:$B$60,2,FALSE),"N")="Y",N($D465),0))</f>
      </c>
      <c r="J465" s="30">
        <f>IF($H465&gt;0,$I465/$H465,"")</f>
      </c>
      <c r="K465" s="32">
        <f>IF($F483&gt;0,9,0)</f>
      </c>
    </row>
    <row r="466" spans="1:10" x14ac:dyDescent="0.25">
      <c r="A466" s="33">
        <v>46317</v>
      </c>
      <c r="B466" s="34" t="s">
        <v>27</v>
      </c>
      <c r="C466" s="35"/>
      <c r="D466" s="36"/>
      <c r="E466" s="36"/>
      <c r="F466" s="37">
        <f>IF($C466="","",IF($E466="",30,$E466)/60)</f>
      </c>
      <c r="G466" s="37">
        <f>IF($C466="","",(30-IF($E466="",30,$E466))/60)</f>
      </c>
      <c r="H466" s="37">
        <f>IF($C466="",0,IF(IFERROR(VLOOKUP($C466,Setup!$A$2:$B$60,2,FALSE),"N")="Y",$F466,0))</f>
      </c>
      <c r="I466" s="38">
        <f>IF($C466="",0,IF(IFERROR(VLOOKUP($C466,Setup!$A$2:$B$60,2,FALSE),"N")="Y",N($D466),0))</f>
      </c>
      <c r="J466" s="37">
        <f>IF($H466&gt;0,$I466/$H466,"")</f>
      </c>
    </row>
    <row r="467" spans="1:10" x14ac:dyDescent="0.25">
      <c r="A467" s="26">
        <v>46317</v>
      </c>
      <c r="B467" s="27" t="s">
        <v>28</v>
      </c>
      <c r="C467" s="28"/>
      <c r="D467" s="29"/>
      <c r="E467" s="29"/>
      <c r="F467" s="30">
        <f>IF($C467="","",IF($E467="",30,$E467)/60)</f>
      </c>
      <c r="G467" s="30">
        <f>IF($C467="","",(30-IF($E467="",30,$E467))/60)</f>
      </c>
      <c r="H467" s="30">
        <f>IF($C467="",0,IF(IFERROR(VLOOKUP($C467,Setup!$A$2:$B$60,2,FALSE),"N")="Y",$F467,0))</f>
      </c>
      <c r="I467" s="31">
        <f>IF($C467="",0,IF(IFERROR(VLOOKUP($C467,Setup!$A$2:$B$60,2,FALSE),"N")="Y",N($D467),0))</f>
      </c>
      <c r="J467" s="30">
        <f>IF($H467&gt;0,$I467/$H467,"")</f>
      </c>
    </row>
    <row r="468" spans="1:10" x14ac:dyDescent="0.25">
      <c r="A468" s="33">
        <v>46317</v>
      </c>
      <c r="B468" s="34" t="s">
        <v>29</v>
      </c>
      <c r="C468" s="35"/>
      <c r="D468" s="36"/>
      <c r="E468" s="36"/>
      <c r="F468" s="37">
        <f>IF($C468="","",IF($E468="",30,$E468)/60)</f>
      </c>
      <c r="G468" s="37">
        <f>IF($C468="","",(30-IF($E468="",30,$E468))/60)</f>
      </c>
      <c r="H468" s="37">
        <f>IF($C468="",0,IF(IFERROR(VLOOKUP($C468,Setup!$A$2:$B$60,2,FALSE),"N")="Y",$F468,0))</f>
      </c>
      <c r="I468" s="38">
        <f>IF($C468="",0,IF(IFERROR(VLOOKUP($C468,Setup!$A$2:$B$60,2,FALSE),"N")="Y",N($D468),0))</f>
      </c>
      <c r="J468" s="37">
        <f>IF($H468&gt;0,$I468/$H468,"")</f>
      </c>
    </row>
    <row r="469" spans="1:10" x14ac:dyDescent="0.25">
      <c r="A469" s="26">
        <v>46317</v>
      </c>
      <c r="B469" s="27" t="s">
        <v>30</v>
      </c>
      <c r="C469" s="28"/>
      <c r="D469" s="29"/>
      <c r="E469" s="29"/>
      <c r="F469" s="30">
        <f>IF($C469="","",IF($E469="",30,$E469)/60)</f>
      </c>
      <c r="G469" s="30">
        <f>IF($C469="","",(30-IF($E469="",30,$E469))/60)</f>
      </c>
      <c r="H469" s="30">
        <f>IF($C469="",0,IF(IFERROR(VLOOKUP($C469,Setup!$A$2:$B$60,2,FALSE),"N")="Y",$F469,0))</f>
      </c>
      <c r="I469" s="31">
        <f>IF($C469="",0,IF(IFERROR(VLOOKUP($C469,Setup!$A$2:$B$60,2,FALSE),"N")="Y",N($D469),0))</f>
      </c>
      <c r="J469" s="30">
        <f>IF($H469&gt;0,$I469/$H469,"")</f>
      </c>
    </row>
    <row r="470" spans="1:10" x14ac:dyDescent="0.25">
      <c r="A470" s="33">
        <v>46317</v>
      </c>
      <c r="B470" s="34" t="s">
        <v>31</v>
      </c>
      <c r="C470" s="35"/>
      <c r="D470" s="36"/>
      <c r="E470" s="36"/>
      <c r="F470" s="37">
        <f>IF($C470="","",IF($E470="",30,$E470)/60)</f>
      </c>
      <c r="G470" s="37">
        <f>IF($C470="","",(30-IF($E470="",30,$E470))/60)</f>
      </c>
      <c r="H470" s="37">
        <f>IF($C470="",0,IF(IFERROR(VLOOKUP($C470,Setup!$A$2:$B$60,2,FALSE),"N")="Y",$F470,0))</f>
      </c>
      <c r="I470" s="38">
        <f>IF($C470="",0,IF(IFERROR(VLOOKUP($C470,Setup!$A$2:$B$60,2,FALSE),"N")="Y",N($D470),0))</f>
      </c>
      <c r="J470" s="37">
        <f>IF($H470&gt;0,$I470/$H470,"")</f>
      </c>
    </row>
    <row r="471" spans="1:10" x14ac:dyDescent="0.25">
      <c r="A471" s="26">
        <v>46317</v>
      </c>
      <c r="B471" s="27" t="s">
        <v>32</v>
      </c>
      <c r="C471" s="28"/>
      <c r="D471" s="29"/>
      <c r="E471" s="29"/>
      <c r="F471" s="30">
        <f>IF($C471="","",IF($E471="",30,$E471)/60)</f>
      </c>
      <c r="G471" s="30">
        <f>IF($C471="","",(30-IF($E471="",30,$E471))/60)</f>
      </c>
      <c r="H471" s="30">
        <f>IF($C471="",0,IF(IFERROR(VLOOKUP($C471,Setup!$A$2:$B$60,2,FALSE),"N")="Y",$F471,0))</f>
      </c>
      <c r="I471" s="31">
        <f>IF($C471="",0,IF(IFERROR(VLOOKUP($C471,Setup!$A$2:$B$60,2,FALSE),"N")="Y",N($D471),0))</f>
      </c>
      <c r="J471" s="30">
        <f>IF($H471&gt;0,$I471/$H471,"")</f>
      </c>
    </row>
    <row r="472" spans="1:10" x14ac:dyDescent="0.25">
      <c r="A472" s="33">
        <v>46317</v>
      </c>
      <c r="B472" s="34" t="s">
        <v>33</v>
      </c>
      <c r="C472" s="35"/>
      <c r="D472" s="36"/>
      <c r="E472" s="36"/>
      <c r="F472" s="37">
        <f>IF($C472="","",IF($E472="",30,$E472)/60)</f>
      </c>
      <c r="G472" s="37">
        <f>IF($C472="","",(30-IF($E472="",30,$E472))/60)</f>
      </c>
      <c r="H472" s="37">
        <f>IF($C472="",0,IF(IFERROR(VLOOKUP($C472,Setup!$A$2:$B$60,2,FALSE),"N")="Y",$F472,0))</f>
      </c>
      <c r="I472" s="38">
        <f>IF($C472="",0,IF(IFERROR(VLOOKUP($C472,Setup!$A$2:$B$60,2,FALSE),"N")="Y",N($D472),0))</f>
      </c>
      <c r="J472" s="37">
        <f>IF($H472&gt;0,$I472/$H472,"")</f>
      </c>
    </row>
    <row r="473" spans="1:10" x14ac:dyDescent="0.25">
      <c r="A473" s="26">
        <v>46317</v>
      </c>
      <c r="B473" s="27" t="s">
        <v>34</v>
      </c>
      <c r="C473" s="28"/>
      <c r="D473" s="29"/>
      <c r="E473" s="29"/>
      <c r="F473" s="30">
        <f>IF($C473="","",IF($E473="",30,$E473)/60)</f>
      </c>
      <c r="G473" s="30">
        <f>IF($C473="","",(30-IF($E473="",30,$E473))/60)</f>
      </c>
      <c r="H473" s="30">
        <f>IF($C473="",0,IF(IFERROR(VLOOKUP($C473,Setup!$A$2:$B$60,2,FALSE),"N")="Y",$F473,0))</f>
      </c>
      <c r="I473" s="31">
        <f>IF($C473="",0,IF(IFERROR(VLOOKUP($C473,Setup!$A$2:$B$60,2,FALSE),"N")="Y",N($D473),0))</f>
      </c>
      <c r="J473" s="30">
        <f>IF($H473&gt;0,$I473/$H473,"")</f>
      </c>
    </row>
    <row r="474" spans="1:10" x14ac:dyDescent="0.25">
      <c r="A474" s="33">
        <v>46317</v>
      </c>
      <c r="B474" s="34" t="s">
        <v>35</v>
      </c>
      <c r="C474" s="35"/>
      <c r="D474" s="36"/>
      <c r="E474" s="36"/>
      <c r="F474" s="37">
        <f>IF($C474="","",IF($E474="",30,$E474)/60)</f>
      </c>
      <c r="G474" s="37">
        <f>IF($C474="","",(30-IF($E474="",30,$E474))/60)</f>
      </c>
      <c r="H474" s="37">
        <f>IF($C474="",0,IF(IFERROR(VLOOKUP($C474,Setup!$A$2:$B$60,2,FALSE),"N")="Y",$F474,0))</f>
      </c>
      <c r="I474" s="38">
        <f>IF($C474="",0,IF(IFERROR(VLOOKUP($C474,Setup!$A$2:$B$60,2,FALSE),"N")="Y",N($D474),0))</f>
      </c>
      <c r="J474" s="37">
        <f>IF($H474&gt;0,$I474/$H474,"")</f>
      </c>
    </row>
    <row r="475" spans="1:10" x14ac:dyDescent="0.25">
      <c r="A475" s="26">
        <v>46317</v>
      </c>
      <c r="B475" s="27" t="s">
        <v>36</v>
      </c>
      <c r="C475" s="28"/>
      <c r="D475" s="29"/>
      <c r="E475" s="29"/>
      <c r="F475" s="30">
        <f>IF($C475="","",IF($E475="",30,$E475)/60)</f>
      </c>
      <c r="G475" s="30">
        <f>IF($C475="","",(30-IF($E475="",30,$E475))/60)</f>
      </c>
      <c r="H475" s="30">
        <f>IF($C475="",0,IF(IFERROR(VLOOKUP($C475,Setup!$A$2:$B$60,2,FALSE),"N")="Y",$F475,0))</f>
      </c>
      <c r="I475" s="31">
        <f>IF($C475="",0,IF(IFERROR(VLOOKUP($C475,Setup!$A$2:$B$60,2,FALSE),"N")="Y",N($D475),0))</f>
      </c>
      <c r="J475" s="30">
        <f>IF($H475&gt;0,$I475/$H475,"")</f>
      </c>
    </row>
    <row r="476" spans="1:10" x14ac:dyDescent="0.25">
      <c r="A476" s="33">
        <v>46317</v>
      </c>
      <c r="B476" s="34" t="s">
        <v>37</v>
      </c>
      <c r="C476" s="35"/>
      <c r="D476" s="36"/>
      <c r="E476" s="36"/>
      <c r="F476" s="37">
        <f>IF($C476="","",IF($E476="",30,$E476)/60)</f>
      </c>
      <c r="G476" s="37">
        <f>IF($C476="","",(30-IF($E476="",30,$E476))/60)</f>
      </c>
      <c r="H476" s="37">
        <f>IF($C476="",0,IF(IFERROR(VLOOKUP($C476,Setup!$A$2:$B$60,2,FALSE),"N")="Y",$F476,0))</f>
      </c>
      <c r="I476" s="38">
        <f>IF($C476="",0,IF(IFERROR(VLOOKUP($C476,Setup!$A$2:$B$60,2,FALSE),"N")="Y",N($D476),0))</f>
      </c>
      <c r="J476" s="37">
        <f>IF($H476&gt;0,$I476/$H476,"")</f>
      </c>
    </row>
    <row r="477" spans="1:10" x14ac:dyDescent="0.25">
      <c r="A477" s="26">
        <v>46317</v>
      </c>
      <c r="B477" s="27" t="s">
        <v>38</v>
      </c>
      <c r="C477" s="28"/>
      <c r="D477" s="29"/>
      <c r="E477" s="29"/>
      <c r="F477" s="30">
        <f>IF($C477="","",IF($E477="",30,$E477)/60)</f>
      </c>
      <c r="G477" s="30">
        <f>IF($C477="","",(30-IF($E477="",30,$E477))/60)</f>
      </c>
      <c r="H477" s="30">
        <f>IF($C477="",0,IF(IFERROR(VLOOKUP($C477,Setup!$A$2:$B$60,2,FALSE),"N")="Y",$F477,0))</f>
      </c>
      <c r="I477" s="31">
        <f>IF($C477="",0,IF(IFERROR(VLOOKUP($C477,Setup!$A$2:$B$60,2,FALSE),"N")="Y",N($D477),0))</f>
      </c>
      <c r="J477" s="30">
        <f>IF($H477&gt;0,$I477/$H477,"")</f>
      </c>
    </row>
    <row r="478" spans="1:10" x14ac:dyDescent="0.25">
      <c r="A478" s="33">
        <v>46317</v>
      </c>
      <c r="B478" s="34" t="s">
        <v>39</v>
      </c>
      <c r="C478" s="35"/>
      <c r="D478" s="36"/>
      <c r="E478" s="36"/>
      <c r="F478" s="37">
        <f>IF($C478="","",IF($E478="",30,$E478)/60)</f>
      </c>
      <c r="G478" s="37">
        <f>IF($C478="","",(30-IF($E478="",30,$E478))/60)</f>
      </c>
      <c r="H478" s="37">
        <f>IF($C478="",0,IF(IFERROR(VLOOKUP($C478,Setup!$A$2:$B$60,2,FALSE),"N")="Y",$F478,0))</f>
      </c>
      <c r="I478" s="38">
        <f>IF($C478="",0,IF(IFERROR(VLOOKUP($C478,Setup!$A$2:$B$60,2,FALSE),"N")="Y",N($D478),0))</f>
      </c>
      <c r="J478" s="37">
        <f>IF($H478&gt;0,$I478/$H478,"")</f>
      </c>
    </row>
    <row r="479" spans="1:10" x14ac:dyDescent="0.25">
      <c r="A479" s="26">
        <v>46317</v>
      </c>
      <c r="B479" s="27" t="s">
        <v>40</v>
      </c>
      <c r="C479" s="28"/>
      <c r="D479" s="29"/>
      <c r="E479" s="29"/>
      <c r="F479" s="30">
        <f>IF($C479="","",IF($E479="",30,$E479)/60)</f>
      </c>
      <c r="G479" s="30">
        <f>IF($C479="","",(30-IF($E479="",30,$E479))/60)</f>
      </c>
      <c r="H479" s="30">
        <f>IF($C479="",0,IF(IFERROR(VLOOKUP($C479,Setup!$A$2:$B$60,2,FALSE),"N")="Y",$F479,0))</f>
      </c>
      <c r="I479" s="31">
        <f>IF($C479="",0,IF(IFERROR(VLOOKUP($C479,Setup!$A$2:$B$60,2,FALSE),"N")="Y",N($D479),0))</f>
      </c>
      <c r="J479" s="30">
        <f>IF($H479&gt;0,$I479/$H479,"")</f>
      </c>
    </row>
    <row r="480" spans="1:10" x14ac:dyDescent="0.25">
      <c r="A480" s="33">
        <v>46317</v>
      </c>
      <c r="B480" s="34" t="s">
        <v>41</v>
      </c>
      <c r="C480" s="35"/>
      <c r="D480" s="36"/>
      <c r="E480" s="36"/>
      <c r="F480" s="37">
        <f>IF($C480="","",IF($E480="",30,$E480)/60)</f>
      </c>
      <c r="G480" s="37">
        <f>IF($C480="","",(30-IF($E480="",30,$E480))/60)</f>
      </c>
      <c r="H480" s="37">
        <f>IF($C480="",0,IF(IFERROR(VLOOKUP($C480,Setup!$A$2:$B$60,2,FALSE),"N")="Y",$F480,0))</f>
      </c>
      <c r="I480" s="38">
        <f>IF($C480="",0,IF(IFERROR(VLOOKUP($C480,Setup!$A$2:$B$60,2,FALSE),"N")="Y",N($D480),0))</f>
      </c>
      <c r="J480" s="37">
        <f>IF($H480&gt;0,$I480/$H480,"")</f>
      </c>
    </row>
    <row r="481" spans="1:10" x14ac:dyDescent="0.25">
      <c r="A481" s="26">
        <v>46317</v>
      </c>
      <c r="B481" s="27" t="s">
        <v>42</v>
      </c>
      <c r="C481" s="28"/>
      <c r="D481" s="29"/>
      <c r="E481" s="29"/>
      <c r="F481" s="30">
        <f>IF($C481="","",IF($E481="",30,$E481)/60)</f>
      </c>
      <c r="G481" s="30">
        <f>IF($C481="","",(30-IF($E481="",30,$E481))/60)</f>
      </c>
      <c r="H481" s="30">
        <f>IF($C481="",0,IF(IFERROR(VLOOKUP($C481,Setup!$A$2:$B$60,2,FALSE),"N")="Y",$F481,0))</f>
      </c>
      <c r="I481" s="31">
        <f>IF($C481="",0,IF(IFERROR(VLOOKUP($C481,Setup!$A$2:$B$60,2,FALSE),"N")="Y",N($D481),0))</f>
      </c>
      <c r="J481" s="30">
        <f>IF($H481&gt;0,$I481/$H481,"")</f>
      </c>
    </row>
    <row r="482" spans="1:10" x14ac:dyDescent="0.25">
      <c r="A482" s="33">
        <v>46317</v>
      </c>
      <c r="B482" s="34" t="s">
        <v>43</v>
      </c>
      <c r="C482" s="35"/>
      <c r="D482" s="36"/>
      <c r="E482" s="36"/>
      <c r="F482" s="37">
        <f>IF($C482="","",IF($E482="",30,$E482)/60)</f>
      </c>
      <c r="G482" s="37">
        <f>IF($C482="","",(30-IF($E482="",30,$E482))/60)</f>
      </c>
      <c r="H482" s="37">
        <f>IF($C482="",0,IF(IFERROR(VLOOKUP($C482,Setup!$A$2:$B$60,2,FALSE),"N")="Y",$F482,0))</f>
      </c>
      <c r="I482" s="38">
        <f>IF($C482="",0,IF(IFERROR(VLOOKUP($C482,Setup!$A$2:$B$60,2,FALSE),"N")="Y",N($D482),0))</f>
      </c>
      <c r="J482" s="37">
        <f>IF($H482&gt;0,$I482/$H482,"")</f>
      </c>
    </row>
    <row r="483" spans="2:10" x14ac:dyDescent="0.25">
      <c r="B483" s="39" t="s">
        <v>44</v>
      </c>
      <c r="C483" s="40"/>
      <c r="D483" s="41">
        <f>SUM(I465:I482)</f>
      </c>
      <c r="E483" s="40"/>
      <c r="F483" s="42">
        <f>SUM(F465:F482)</f>
      </c>
      <c r="G483" s="42">
        <f>SUM(G465:G482)</f>
      </c>
      <c r="H483" s="42">
        <f>SUM(H465:H482)</f>
      </c>
      <c r="I483" s="40"/>
      <c r="J483" s="42">
        <f>IF(H483&gt;0,D483/H483,"")</f>
      </c>
    </row>
    <row r="485" ht="26" customHeight="1" spans="2:10" x14ac:dyDescent="0.25">
      <c r="B485" s="21">
        <v>46318</v>
      </c>
      <c r="C485" s="21"/>
      <c r="D485" s="21"/>
      <c r="E485" s="22" t="s">
        <v>21</v>
      </c>
      <c r="F485" s="22"/>
      <c r="G485" s="22"/>
      <c r="H485" s="22"/>
      <c r="I485" s="22"/>
      <c r="J485" s="22"/>
    </row>
    <row r="486" ht="18" customHeight="1" spans="2:10" x14ac:dyDescent="0.25">
      <c r="B486" s="23" t="s">
        <v>22</v>
      </c>
      <c r="C486" s="23" t="s">
        <v>19</v>
      </c>
      <c r="D486" s="24" t="s">
        <v>4</v>
      </c>
      <c r="E486" s="24" t="s">
        <v>23</v>
      </c>
      <c r="F486" s="25" t="s">
        <v>13</v>
      </c>
      <c r="G486" s="25" t="s">
        <v>24</v>
      </c>
      <c r="H486" s="25" t="s">
        <v>25</v>
      </c>
      <c r="I486" s="25" t="s">
        <v>4</v>
      </c>
      <c r="J486" s="25" t="s">
        <v>14</v>
      </c>
    </row>
    <row r="487" spans="1:11" x14ac:dyDescent="0.25">
      <c r="A487" s="26">
        <v>46318</v>
      </c>
      <c r="B487" s="27" t="s">
        <v>26</v>
      </c>
      <c r="C487" s="28"/>
      <c r="D487" s="29"/>
      <c r="E487" s="29"/>
      <c r="F487" s="30">
        <f>IF($C487="","",IF($E487="",30,$E487)/60)</f>
      </c>
      <c r="G487" s="30">
        <f>IF($C487="","",(30-IF($E487="",30,$E487))/60)</f>
      </c>
      <c r="H487" s="30">
        <f>IF($C487="",0,IF(IFERROR(VLOOKUP($C487,Setup!$A$2:$B$60,2,FALSE),"N")="Y",$F487,0))</f>
      </c>
      <c r="I487" s="31">
        <f>IF($C487="",0,IF(IFERROR(VLOOKUP($C487,Setup!$A$2:$B$60,2,FALSE),"N")="Y",N($D487),0))</f>
      </c>
      <c r="J487" s="30">
        <f>IF($H487&gt;0,$I487/$H487,"")</f>
      </c>
      <c r="K487" s="32">
        <f>IF($F505&gt;0,9,0)</f>
      </c>
    </row>
    <row r="488" spans="1:10" x14ac:dyDescent="0.25">
      <c r="A488" s="33">
        <v>46318</v>
      </c>
      <c r="B488" s="34" t="s">
        <v>27</v>
      </c>
      <c r="C488" s="35"/>
      <c r="D488" s="36"/>
      <c r="E488" s="36"/>
      <c r="F488" s="37">
        <f>IF($C488="","",IF($E488="",30,$E488)/60)</f>
      </c>
      <c r="G488" s="37">
        <f>IF($C488="","",(30-IF($E488="",30,$E488))/60)</f>
      </c>
      <c r="H488" s="37">
        <f>IF($C488="",0,IF(IFERROR(VLOOKUP($C488,Setup!$A$2:$B$60,2,FALSE),"N")="Y",$F488,0))</f>
      </c>
      <c r="I488" s="38">
        <f>IF($C488="",0,IF(IFERROR(VLOOKUP($C488,Setup!$A$2:$B$60,2,FALSE),"N")="Y",N($D488),0))</f>
      </c>
      <c r="J488" s="37">
        <f>IF($H488&gt;0,$I488/$H488,"")</f>
      </c>
    </row>
    <row r="489" spans="1:10" x14ac:dyDescent="0.25">
      <c r="A489" s="26">
        <v>46318</v>
      </c>
      <c r="B489" s="27" t="s">
        <v>28</v>
      </c>
      <c r="C489" s="28"/>
      <c r="D489" s="29"/>
      <c r="E489" s="29"/>
      <c r="F489" s="30">
        <f>IF($C489="","",IF($E489="",30,$E489)/60)</f>
      </c>
      <c r="G489" s="30">
        <f>IF($C489="","",(30-IF($E489="",30,$E489))/60)</f>
      </c>
      <c r="H489" s="30">
        <f>IF($C489="",0,IF(IFERROR(VLOOKUP($C489,Setup!$A$2:$B$60,2,FALSE),"N")="Y",$F489,0))</f>
      </c>
      <c r="I489" s="31">
        <f>IF($C489="",0,IF(IFERROR(VLOOKUP($C489,Setup!$A$2:$B$60,2,FALSE),"N")="Y",N($D489),0))</f>
      </c>
      <c r="J489" s="30">
        <f>IF($H489&gt;0,$I489/$H489,"")</f>
      </c>
    </row>
    <row r="490" spans="1:10" x14ac:dyDescent="0.25">
      <c r="A490" s="33">
        <v>46318</v>
      </c>
      <c r="B490" s="34" t="s">
        <v>29</v>
      </c>
      <c r="C490" s="35"/>
      <c r="D490" s="36"/>
      <c r="E490" s="36"/>
      <c r="F490" s="37">
        <f>IF($C490="","",IF($E490="",30,$E490)/60)</f>
      </c>
      <c r="G490" s="37">
        <f>IF($C490="","",(30-IF($E490="",30,$E490))/60)</f>
      </c>
      <c r="H490" s="37">
        <f>IF($C490="",0,IF(IFERROR(VLOOKUP($C490,Setup!$A$2:$B$60,2,FALSE),"N")="Y",$F490,0))</f>
      </c>
      <c r="I490" s="38">
        <f>IF($C490="",0,IF(IFERROR(VLOOKUP($C490,Setup!$A$2:$B$60,2,FALSE),"N")="Y",N($D490),0))</f>
      </c>
      <c r="J490" s="37">
        <f>IF($H490&gt;0,$I490/$H490,"")</f>
      </c>
    </row>
    <row r="491" spans="1:10" x14ac:dyDescent="0.25">
      <c r="A491" s="26">
        <v>46318</v>
      </c>
      <c r="B491" s="27" t="s">
        <v>30</v>
      </c>
      <c r="C491" s="28"/>
      <c r="D491" s="29"/>
      <c r="E491" s="29"/>
      <c r="F491" s="30">
        <f>IF($C491="","",IF($E491="",30,$E491)/60)</f>
      </c>
      <c r="G491" s="30">
        <f>IF($C491="","",(30-IF($E491="",30,$E491))/60)</f>
      </c>
      <c r="H491" s="30">
        <f>IF($C491="",0,IF(IFERROR(VLOOKUP($C491,Setup!$A$2:$B$60,2,FALSE),"N")="Y",$F491,0))</f>
      </c>
      <c r="I491" s="31">
        <f>IF($C491="",0,IF(IFERROR(VLOOKUP($C491,Setup!$A$2:$B$60,2,FALSE),"N")="Y",N($D491),0))</f>
      </c>
      <c r="J491" s="30">
        <f>IF($H491&gt;0,$I491/$H491,"")</f>
      </c>
    </row>
    <row r="492" spans="1:10" x14ac:dyDescent="0.25">
      <c r="A492" s="33">
        <v>46318</v>
      </c>
      <c r="B492" s="34" t="s">
        <v>31</v>
      </c>
      <c r="C492" s="35"/>
      <c r="D492" s="36"/>
      <c r="E492" s="36"/>
      <c r="F492" s="37">
        <f>IF($C492="","",IF($E492="",30,$E492)/60)</f>
      </c>
      <c r="G492" s="37">
        <f>IF($C492="","",(30-IF($E492="",30,$E492))/60)</f>
      </c>
      <c r="H492" s="37">
        <f>IF($C492="",0,IF(IFERROR(VLOOKUP($C492,Setup!$A$2:$B$60,2,FALSE),"N")="Y",$F492,0))</f>
      </c>
      <c r="I492" s="38">
        <f>IF($C492="",0,IF(IFERROR(VLOOKUP($C492,Setup!$A$2:$B$60,2,FALSE),"N")="Y",N($D492),0))</f>
      </c>
      <c r="J492" s="37">
        <f>IF($H492&gt;0,$I492/$H492,"")</f>
      </c>
    </row>
    <row r="493" spans="1:10" x14ac:dyDescent="0.25">
      <c r="A493" s="26">
        <v>46318</v>
      </c>
      <c r="B493" s="27" t="s">
        <v>32</v>
      </c>
      <c r="C493" s="28"/>
      <c r="D493" s="29"/>
      <c r="E493" s="29"/>
      <c r="F493" s="30">
        <f>IF($C493="","",IF($E493="",30,$E493)/60)</f>
      </c>
      <c r="G493" s="30">
        <f>IF($C493="","",(30-IF($E493="",30,$E493))/60)</f>
      </c>
      <c r="H493" s="30">
        <f>IF($C493="",0,IF(IFERROR(VLOOKUP($C493,Setup!$A$2:$B$60,2,FALSE),"N")="Y",$F493,0))</f>
      </c>
      <c r="I493" s="31">
        <f>IF($C493="",0,IF(IFERROR(VLOOKUP($C493,Setup!$A$2:$B$60,2,FALSE),"N")="Y",N($D493),0))</f>
      </c>
      <c r="J493" s="30">
        <f>IF($H493&gt;0,$I493/$H493,"")</f>
      </c>
    </row>
    <row r="494" spans="1:10" x14ac:dyDescent="0.25">
      <c r="A494" s="33">
        <v>46318</v>
      </c>
      <c r="B494" s="34" t="s">
        <v>33</v>
      </c>
      <c r="C494" s="35"/>
      <c r="D494" s="36"/>
      <c r="E494" s="36"/>
      <c r="F494" s="37">
        <f>IF($C494="","",IF($E494="",30,$E494)/60)</f>
      </c>
      <c r="G494" s="37">
        <f>IF($C494="","",(30-IF($E494="",30,$E494))/60)</f>
      </c>
      <c r="H494" s="37">
        <f>IF($C494="",0,IF(IFERROR(VLOOKUP($C494,Setup!$A$2:$B$60,2,FALSE),"N")="Y",$F494,0))</f>
      </c>
      <c r="I494" s="38">
        <f>IF($C494="",0,IF(IFERROR(VLOOKUP($C494,Setup!$A$2:$B$60,2,FALSE),"N")="Y",N($D494),0))</f>
      </c>
      <c r="J494" s="37">
        <f>IF($H494&gt;0,$I494/$H494,"")</f>
      </c>
    </row>
    <row r="495" spans="1:10" x14ac:dyDescent="0.25">
      <c r="A495" s="26">
        <v>46318</v>
      </c>
      <c r="B495" s="27" t="s">
        <v>34</v>
      </c>
      <c r="C495" s="28"/>
      <c r="D495" s="29"/>
      <c r="E495" s="29"/>
      <c r="F495" s="30">
        <f>IF($C495="","",IF($E495="",30,$E495)/60)</f>
      </c>
      <c r="G495" s="30">
        <f>IF($C495="","",(30-IF($E495="",30,$E495))/60)</f>
      </c>
      <c r="H495" s="30">
        <f>IF($C495="",0,IF(IFERROR(VLOOKUP($C495,Setup!$A$2:$B$60,2,FALSE),"N")="Y",$F495,0))</f>
      </c>
      <c r="I495" s="31">
        <f>IF($C495="",0,IF(IFERROR(VLOOKUP($C495,Setup!$A$2:$B$60,2,FALSE),"N")="Y",N($D495),0))</f>
      </c>
      <c r="J495" s="30">
        <f>IF($H495&gt;0,$I495/$H495,"")</f>
      </c>
    </row>
    <row r="496" spans="1:10" x14ac:dyDescent="0.25">
      <c r="A496" s="33">
        <v>46318</v>
      </c>
      <c r="B496" s="34" t="s">
        <v>35</v>
      </c>
      <c r="C496" s="35"/>
      <c r="D496" s="36"/>
      <c r="E496" s="36"/>
      <c r="F496" s="37">
        <f>IF($C496="","",IF($E496="",30,$E496)/60)</f>
      </c>
      <c r="G496" s="37">
        <f>IF($C496="","",(30-IF($E496="",30,$E496))/60)</f>
      </c>
      <c r="H496" s="37">
        <f>IF($C496="",0,IF(IFERROR(VLOOKUP($C496,Setup!$A$2:$B$60,2,FALSE),"N")="Y",$F496,0))</f>
      </c>
      <c r="I496" s="38">
        <f>IF($C496="",0,IF(IFERROR(VLOOKUP($C496,Setup!$A$2:$B$60,2,FALSE),"N")="Y",N($D496),0))</f>
      </c>
      <c r="J496" s="37">
        <f>IF($H496&gt;0,$I496/$H496,"")</f>
      </c>
    </row>
    <row r="497" spans="1:10" x14ac:dyDescent="0.25">
      <c r="A497" s="26">
        <v>46318</v>
      </c>
      <c r="B497" s="27" t="s">
        <v>36</v>
      </c>
      <c r="C497" s="28"/>
      <c r="D497" s="29"/>
      <c r="E497" s="29"/>
      <c r="F497" s="30">
        <f>IF($C497="","",IF($E497="",30,$E497)/60)</f>
      </c>
      <c r="G497" s="30">
        <f>IF($C497="","",(30-IF($E497="",30,$E497))/60)</f>
      </c>
      <c r="H497" s="30">
        <f>IF($C497="",0,IF(IFERROR(VLOOKUP($C497,Setup!$A$2:$B$60,2,FALSE),"N")="Y",$F497,0))</f>
      </c>
      <c r="I497" s="31">
        <f>IF($C497="",0,IF(IFERROR(VLOOKUP($C497,Setup!$A$2:$B$60,2,FALSE),"N")="Y",N($D497),0))</f>
      </c>
      <c r="J497" s="30">
        <f>IF($H497&gt;0,$I497/$H497,"")</f>
      </c>
    </row>
    <row r="498" spans="1:10" x14ac:dyDescent="0.25">
      <c r="A498" s="33">
        <v>46318</v>
      </c>
      <c r="B498" s="34" t="s">
        <v>37</v>
      </c>
      <c r="C498" s="35"/>
      <c r="D498" s="36"/>
      <c r="E498" s="36"/>
      <c r="F498" s="37">
        <f>IF($C498="","",IF($E498="",30,$E498)/60)</f>
      </c>
      <c r="G498" s="37">
        <f>IF($C498="","",(30-IF($E498="",30,$E498))/60)</f>
      </c>
      <c r="H498" s="37">
        <f>IF($C498="",0,IF(IFERROR(VLOOKUP($C498,Setup!$A$2:$B$60,2,FALSE),"N")="Y",$F498,0))</f>
      </c>
      <c r="I498" s="38">
        <f>IF($C498="",0,IF(IFERROR(VLOOKUP($C498,Setup!$A$2:$B$60,2,FALSE),"N")="Y",N($D498),0))</f>
      </c>
      <c r="J498" s="37">
        <f>IF($H498&gt;0,$I498/$H498,"")</f>
      </c>
    </row>
    <row r="499" spans="1:10" x14ac:dyDescent="0.25">
      <c r="A499" s="26">
        <v>46318</v>
      </c>
      <c r="B499" s="27" t="s">
        <v>38</v>
      </c>
      <c r="C499" s="28"/>
      <c r="D499" s="29"/>
      <c r="E499" s="29"/>
      <c r="F499" s="30">
        <f>IF($C499="","",IF($E499="",30,$E499)/60)</f>
      </c>
      <c r="G499" s="30">
        <f>IF($C499="","",(30-IF($E499="",30,$E499))/60)</f>
      </c>
      <c r="H499" s="30">
        <f>IF($C499="",0,IF(IFERROR(VLOOKUP($C499,Setup!$A$2:$B$60,2,FALSE),"N")="Y",$F499,0))</f>
      </c>
      <c r="I499" s="31">
        <f>IF($C499="",0,IF(IFERROR(VLOOKUP($C499,Setup!$A$2:$B$60,2,FALSE),"N")="Y",N($D499),0))</f>
      </c>
      <c r="J499" s="30">
        <f>IF($H499&gt;0,$I499/$H499,"")</f>
      </c>
    </row>
    <row r="500" spans="1:10" x14ac:dyDescent="0.25">
      <c r="A500" s="33">
        <v>46318</v>
      </c>
      <c r="B500" s="34" t="s">
        <v>39</v>
      </c>
      <c r="C500" s="35"/>
      <c r="D500" s="36"/>
      <c r="E500" s="36"/>
      <c r="F500" s="37">
        <f>IF($C500="","",IF($E500="",30,$E500)/60)</f>
      </c>
      <c r="G500" s="37">
        <f>IF($C500="","",(30-IF($E500="",30,$E500))/60)</f>
      </c>
      <c r="H500" s="37">
        <f>IF($C500="",0,IF(IFERROR(VLOOKUP($C500,Setup!$A$2:$B$60,2,FALSE),"N")="Y",$F500,0))</f>
      </c>
      <c r="I500" s="38">
        <f>IF($C500="",0,IF(IFERROR(VLOOKUP($C500,Setup!$A$2:$B$60,2,FALSE),"N")="Y",N($D500),0))</f>
      </c>
      <c r="J500" s="37">
        <f>IF($H500&gt;0,$I500/$H500,"")</f>
      </c>
    </row>
    <row r="501" spans="1:10" x14ac:dyDescent="0.25">
      <c r="A501" s="26">
        <v>46318</v>
      </c>
      <c r="B501" s="27" t="s">
        <v>40</v>
      </c>
      <c r="C501" s="28"/>
      <c r="D501" s="29"/>
      <c r="E501" s="29"/>
      <c r="F501" s="30">
        <f>IF($C501="","",IF($E501="",30,$E501)/60)</f>
      </c>
      <c r="G501" s="30">
        <f>IF($C501="","",(30-IF($E501="",30,$E501))/60)</f>
      </c>
      <c r="H501" s="30">
        <f>IF($C501="",0,IF(IFERROR(VLOOKUP($C501,Setup!$A$2:$B$60,2,FALSE),"N")="Y",$F501,0))</f>
      </c>
      <c r="I501" s="31">
        <f>IF($C501="",0,IF(IFERROR(VLOOKUP($C501,Setup!$A$2:$B$60,2,FALSE),"N")="Y",N($D501),0))</f>
      </c>
      <c r="J501" s="30">
        <f>IF($H501&gt;0,$I501/$H501,"")</f>
      </c>
    </row>
    <row r="502" spans="1:10" x14ac:dyDescent="0.25">
      <c r="A502" s="33">
        <v>46318</v>
      </c>
      <c r="B502" s="34" t="s">
        <v>41</v>
      </c>
      <c r="C502" s="35"/>
      <c r="D502" s="36"/>
      <c r="E502" s="36"/>
      <c r="F502" s="37">
        <f>IF($C502="","",IF($E502="",30,$E502)/60)</f>
      </c>
      <c r="G502" s="37">
        <f>IF($C502="","",(30-IF($E502="",30,$E502))/60)</f>
      </c>
      <c r="H502" s="37">
        <f>IF($C502="",0,IF(IFERROR(VLOOKUP($C502,Setup!$A$2:$B$60,2,FALSE),"N")="Y",$F502,0))</f>
      </c>
      <c r="I502" s="38">
        <f>IF($C502="",0,IF(IFERROR(VLOOKUP($C502,Setup!$A$2:$B$60,2,FALSE),"N")="Y",N($D502),0))</f>
      </c>
      <c r="J502" s="37">
        <f>IF($H502&gt;0,$I502/$H502,"")</f>
      </c>
    </row>
    <row r="503" spans="1:10" x14ac:dyDescent="0.25">
      <c r="A503" s="26">
        <v>46318</v>
      </c>
      <c r="B503" s="27" t="s">
        <v>42</v>
      </c>
      <c r="C503" s="28"/>
      <c r="D503" s="29"/>
      <c r="E503" s="29"/>
      <c r="F503" s="30">
        <f>IF($C503="","",IF($E503="",30,$E503)/60)</f>
      </c>
      <c r="G503" s="30">
        <f>IF($C503="","",(30-IF($E503="",30,$E503))/60)</f>
      </c>
      <c r="H503" s="30">
        <f>IF($C503="",0,IF(IFERROR(VLOOKUP($C503,Setup!$A$2:$B$60,2,FALSE),"N")="Y",$F503,0))</f>
      </c>
      <c r="I503" s="31">
        <f>IF($C503="",0,IF(IFERROR(VLOOKUP($C503,Setup!$A$2:$B$60,2,FALSE),"N")="Y",N($D503),0))</f>
      </c>
      <c r="J503" s="30">
        <f>IF($H503&gt;0,$I503/$H503,"")</f>
      </c>
    </row>
    <row r="504" spans="1:10" x14ac:dyDescent="0.25">
      <c r="A504" s="33">
        <v>46318</v>
      </c>
      <c r="B504" s="34" t="s">
        <v>43</v>
      </c>
      <c r="C504" s="35"/>
      <c r="D504" s="36"/>
      <c r="E504" s="36"/>
      <c r="F504" s="37">
        <f>IF($C504="","",IF($E504="",30,$E504)/60)</f>
      </c>
      <c r="G504" s="37">
        <f>IF($C504="","",(30-IF($E504="",30,$E504))/60)</f>
      </c>
      <c r="H504" s="37">
        <f>IF($C504="",0,IF(IFERROR(VLOOKUP($C504,Setup!$A$2:$B$60,2,FALSE),"N")="Y",$F504,0))</f>
      </c>
      <c r="I504" s="38">
        <f>IF($C504="",0,IF(IFERROR(VLOOKUP($C504,Setup!$A$2:$B$60,2,FALSE),"N")="Y",N($D504),0))</f>
      </c>
      <c r="J504" s="37">
        <f>IF($H504&gt;0,$I504/$H504,"")</f>
      </c>
    </row>
    <row r="505" spans="2:10" x14ac:dyDescent="0.25">
      <c r="B505" s="39" t="s">
        <v>44</v>
      </c>
      <c r="C505" s="40"/>
      <c r="D505" s="41">
        <f>SUM(I487:I504)</f>
      </c>
      <c r="E505" s="40"/>
      <c r="F505" s="42">
        <f>SUM(F487:F504)</f>
      </c>
      <c r="G505" s="42">
        <f>SUM(G487:G504)</f>
      </c>
      <c r="H505" s="42">
        <f>SUM(H487:H504)</f>
      </c>
      <c r="I505" s="40"/>
      <c r="J505" s="42">
        <f>IF(H505&gt;0,D505/H505,"")</f>
      </c>
    </row>
    <row r="507" ht="26" customHeight="1" spans="2:10" x14ac:dyDescent="0.25">
      <c r="B507" s="21">
        <v>46319</v>
      </c>
      <c r="C507" s="21"/>
      <c r="D507" s="21"/>
      <c r="E507" s="22" t="s">
        <v>21</v>
      </c>
      <c r="F507" s="22"/>
      <c r="G507" s="22"/>
      <c r="H507" s="22"/>
      <c r="I507" s="22"/>
      <c r="J507" s="22"/>
    </row>
    <row r="508" ht="18" customHeight="1" spans="2:10" x14ac:dyDescent="0.25">
      <c r="B508" s="23" t="s">
        <v>22</v>
      </c>
      <c r="C508" s="23" t="s">
        <v>19</v>
      </c>
      <c r="D508" s="24" t="s">
        <v>4</v>
      </c>
      <c r="E508" s="24" t="s">
        <v>23</v>
      </c>
      <c r="F508" s="25" t="s">
        <v>13</v>
      </c>
      <c r="G508" s="25" t="s">
        <v>24</v>
      </c>
      <c r="H508" s="25" t="s">
        <v>25</v>
      </c>
      <c r="I508" s="25" t="s">
        <v>4</v>
      </c>
      <c r="J508" s="25" t="s">
        <v>14</v>
      </c>
    </row>
    <row r="509" spans="1:11" x14ac:dyDescent="0.25">
      <c r="A509" s="26">
        <v>46319</v>
      </c>
      <c r="B509" s="27" t="s">
        <v>26</v>
      </c>
      <c r="C509" s="28"/>
      <c r="D509" s="29"/>
      <c r="E509" s="29"/>
      <c r="F509" s="30">
        <f>IF($C509="","",IF($E509="",30,$E509)/60)</f>
      </c>
      <c r="G509" s="30">
        <f>IF($C509="","",(30-IF($E509="",30,$E509))/60)</f>
      </c>
      <c r="H509" s="30">
        <f>IF($C509="",0,IF(IFERROR(VLOOKUP($C509,Setup!$A$2:$B$60,2,FALSE),"N")="Y",$F509,0))</f>
      </c>
      <c r="I509" s="31">
        <f>IF($C509="",0,IF(IFERROR(VLOOKUP($C509,Setup!$A$2:$B$60,2,FALSE),"N")="Y",N($D509),0))</f>
      </c>
      <c r="J509" s="30">
        <f>IF($H509&gt;0,$I509/$H509,"")</f>
      </c>
      <c r="K509" s="32">
        <f>IF($F527&gt;0,9,0)</f>
      </c>
    </row>
    <row r="510" spans="1:10" x14ac:dyDescent="0.25">
      <c r="A510" s="33">
        <v>46319</v>
      </c>
      <c r="B510" s="34" t="s">
        <v>27</v>
      </c>
      <c r="C510" s="35"/>
      <c r="D510" s="36"/>
      <c r="E510" s="36"/>
      <c r="F510" s="37">
        <f>IF($C510="","",IF($E510="",30,$E510)/60)</f>
      </c>
      <c r="G510" s="37">
        <f>IF($C510="","",(30-IF($E510="",30,$E510))/60)</f>
      </c>
      <c r="H510" s="37">
        <f>IF($C510="",0,IF(IFERROR(VLOOKUP($C510,Setup!$A$2:$B$60,2,FALSE),"N")="Y",$F510,0))</f>
      </c>
      <c r="I510" s="38">
        <f>IF($C510="",0,IF(IFERROR(VLOOKUP($C510,Setup!$A$2:$B$60,2,FALSE),"N")="Y",N($D510),0))</f>
      </c>
      <c r="J510" s="37">
        <f>IF($H510&gt;0,$I510/$H510,"")</f>
      </c>
    </row>
    <row r="511" spans="1:10" x14ac:dyDescent="0.25">
      <c r="A511" s="26">
        <v>46319</v>
      </c>
      <c r="B511" s="27" t="s">
        <v>28</v>
      </c>
      <c r="C511" s="28"/>
      <c r="D511" s="29"/>
      <c r="E511" s="29"/>
      <c r="F511" s="30">
        <f>IF($C511="","",IF($E511="",30,$E511)/60)</f>
      </c>
      <c r="G511" s="30">
        <f>IF($C511="","",(30-IF($E511="",30,$E511))/60)</f>
      </c>
      <c r="H511" s="30">
        <f>IF($C511="",0,IF(IFERROR(VLOOKUP($C511,Setup!$A$2:$B$60,2,FALSE),"N")="Y",$F511,0))</f>
      </c>
      <c r="I511" s="31">
        <f>IF($C511="",0,IF(IFERROR(VLOOKUP($C511,Setup!$A$2:$B$60,2,FALSE),"N")="Y",N($D511),0))</f>
      </c>
      <c r="J511" s="30">
        <f>IF($H511&gt;0,$I511/$H511,"")</f>
      </c>
    </row>
    <row r="512" spans="1:10" x14ac:dyDescent="0.25">
      <c r="A512" s="33">
        <v>46319</v>
      </c>
      <c r="B512" s="34" t="s">
        <v>29</v>
      </c>
      <c r="C512" s="35"/>
      <c r="D512" s="36"/>
      <c r="E512" s="36"/>
      <c r="F512" s="37">
        <f>IF($C512="","",IF($E512="",30,$E512)/60)</f>
      </c>
      <c r="G512" s="37">
        <f>IF($C512="","",(30-IF($E512="",30,$E512))/60)</f>
      </c>
      <c r="H512" s="37">
        <f>IF($C512="",0,IF(IFERROR(VLOOKUP($C512,Setup!$A$2:$B$60,2,FALSE),"N")="Y",$F512,0))</f>
      </c>
      <c r="I512" s="38">
        <f>IF($C512="",0,IF(IFERROR(VLOOKUP($C512,Setup!$A$2:$B$60,2,FALSE),"N")="Y",N($D512),0))</f>
      </c>
      <c r="J512" s="37">
        <f>IF($H512&gt;0,$I512/$H512,"")</f>
      </c>
    </row>
    <row r="513" spans="1:10" x14ac:dyDescent="0.25">
      <c r="A513" s="26">
        <v>46319</v>
      </c>
      <c r="B513" s="27" t="s">
        <v>30</v>
      </c>
      <c r="C513" s="28"/>
      <c r="D513" s="29"/>
      <c r="E513" s="29"/>
      <c r="F513" s="30">
        <f>IF($C513="","",IF($E513="",30,$E513)/60)</f>
      </c>
      <c r="G513" s="30">
        <f>IF($C513="","",(30-IF($E513="",30,$E513))/60)</f>
      </c>
      <c r="H513" s="30">
        <f>IF($C513="",0,IF(IFERROR(VLOOKUP($C513,Setup!$A$2:$B$60,2,FALSE),"N")="Y",$F513,0))</f>
      </c>
      <c r="I513" s="31">
        <f>IF($C513="",0,IF(IFERROR(VLOOKUP($C513,Setup!$A$2:$B$60,2,FALSE),"N")="Y",N($D513),0))</f>
      </c>
      <c r="J513" s="30">
        <f>IF($H513&gt;0,$I513/$H513,"")</f>
      </c>
    </row>
    <row r="514" spans="1:10" x14ac:dyDescent="0.25">
      <c r="A514" s="33">
        <v>46319</v>
      </c>
      <c r="B514" s="34" t="s">
        <v>31</v>
      </c>
      <c r="C514" s="35"/>
      <c r="D514" s="36"/>
      <c r="E514" s="36"/>
      <c r="F514" s="37">
        <f>IF($C514="","",IF($E514="",30,$E514)/60)</f>
      </c>
      <c r="G514" s="37">
        <f>IF($C514="","",(30-IF($E514="",30,$E514))/60)</f>
      </c>
      <c r="H514" s="37">
        <f>IF($C514="",0,IF(IFERROR(VLOOKUP($C514,Setup!$A$2:$B$60,2,FALSE),"N")="Y",$F514,0))</f>
      </c>
      <c r="I514" s="38">
        <f>IF($C514="",0,IF(IFERROR(VLOOKUP($C514,Setup!$A$2:$B$60,2,FALSE),"N")="Y",N($D514),0))</f>
      </c>
      <c r="J514" s="37">
        <f>IF($H514&gt;0,$I514/$H514,"")</f>
      </c>
    </row>
    <row r="515" spans="1:10" x14ac:dyDescent="0.25">
      <c r="A515" s="26">
        <v>46319</v>
      </c>
      <c r="B515" s="27" t="s">
        <v>32</v>
      </c>
      <c r="C515" s="28"/>
      <c r="D515" s="29"/>
      <c r="E515" s="29"/>
      <c r="F515" s="30">
        <f>IF($C515="","",IF($E515="",30,$E515)/60)</f>
      </c>
      <c r="G515" s="30">
        <f>IF($C515="","",(30-IF($E515="",30,$E515))/60)</f>
      </c>
      <c r="H515" s="30">
        <f>IF($C515="",0,IF(IFERROR(VLOOKUP($C515,Setup!$A$2:$B$60,2,FALSE),"N")="Y",$F515,0))</f>
      </c>
      <c r="I515" s="31">
        <f>IF($C515="",0,IF(IFERROR(VLOOKUP($C515,Setup!$A$2:$B$60,2,FALSE),"N")="Y",N($D515),0))</f>
      </c>
      <c r="J515" s="30">
        <f>IF($H515&gt;0,$I515/$H515,"")</f>
      </c>
    </row>
    <row r="516" spans="1:10" x14ac:dyDescent="0.25">
      <c r="A516" s="33">
        <v>46319</v>
      </c>
      <c r="B516" s="34" t="s">
        <v>33</v>
      </c>
      <c r="C516" s="35"/>
      <c r="D516" s="36"/>
      <c r="E516" s="36"/>
      <c r="F516" s="37">
        <f>IF($C516="","",IF($E516="",30,$E516)/60)</f>
      </c>
      <c r="G516" s="37">
        <f>IF($C516="","",(30-IF($E516="",30,$E516))/60)</f>
      </c>
      <c r="H516" s="37">
        <f>IF($C516="",0,IF(IFERROR(VLOOKUP($C516,Setup!$A$2:$B$60,2,FALSE),"N")="Y",$F516,0))</f>
      </c>
      <c r="I516" s="38">
        <f>IF($C516="",0,IF(IFERROR(VLOOKUP($C516,Setup!$A$2:$B$60,2,FALSE),"N")="Y",N($D516),0))</f>
      </c>
      <c r="J516" s="37">
        <f>IF($H516&gt;0,$I516/$H516,"")</f>
      </c>
    </row>
    <row r="517" spans="1:10" x14ac:dyDescent="0.25">
      <c r="A517" s="26">
        <v>46319</v>
      </c>
      <c r="B517" s="27" t="s">
        <v>34</v>
      </c>
      <c r="C517" s="28"/>
      <c r="D517" s="29"/>
      <c r="E517" s="29"/>
      <c r="F517" s="30">
        <f>IF($C517="","",IF($E517="",30,$E517)/60)</f>
      </c>
      <c r="G517" s="30">
        <f>IF($C517="","",(30-IF($E517="",30,$E517))/60)</f>
      </c>
      <c r="H517" s="30">
        <f>IF($C517="",0,IF(IFERROR(VLOOKUP($C517,Setup!$A$2:$B$60,2,FALSE),"N")="Y",$F517,0))</f>
      </c>
      <c r="I517" s="31">
        <f>IF($C517="",0,IF(IFERROR(VLOOKUP($C517,Setup!$A$2:$B$60,2,FALSE),"N")="Y",N($D517),0))</f>
      </c>
      <c r="J517" s="30">
        <f>IF($H517&gt;0,$I517/$H517,"")</f>
      </c>
    </row>
    <row r="518" spans="1:10" x14ac:dyDescent="0.25">
      <c r="A518" s="33">
        <v>46319</v>
      </c>
      <c r="B518" s="34" t="s">
        <v>35</v>
      </c>
      <c r="C518" s="35"/>
      <c r="D518" s="36"/>
      <c r="E518" s="36"/>
      <c r="F518" s="37">
        <f>IF($C518="","",IF($E518="",30,$E518)/60)</f>
      </c>
      <c r="G518" s="37">
        <f>IF($C518="","",(30-IF($E518="",30,$E518))/60)</f>
      </c>
      <c r="H518" s="37">
        <f>IF($C518="",0,IF(IFERROR(VLOOKUP($C518,Setup!$A$2:$B$60,2,FALSE),"N")="Y",$F518,0))</f>
      </c>
      <c r="I518" s="38">
        <f>IF($C518="",0,IF(IFERROR(VLOOKUP($C518,Setup!$A$2:$B$60,2,FALSE),"N")="Y",N($D518),0))</f>
      </c>
      <c r="J518" s="37">
        <f>IF($H518&gt;0,$I518/$H518,"")</f>
      </c>
    </row>
    <row r="519" spans="1:10" x14ac:dyDescent="0.25">
      <c r="A519" s="26">
        <v>46319</v>
      </c>
      <c r="B519" s="27" t="s">
        <v>36</v>
      </c>
      <c r="C519" s="28"/>
      <c r="D519" s="29"/>
      <c r="E519" s="29"/>
      <c r="F519" s="30">
        <f>IF($C519="","",IF($E519="",30,$E519)/60)</f>
      </c>
      <c r="G519" s="30">
        <f>IF($C519="","",(30-IF($E519="",30,$E519))/60)</f>
      </c>
      <c r="H519" s="30">
        <f>IF($C519="",0,IF(IFERROR(VLOOKUP($C519,Setup!$A$2:$B$60,2,FALSE),"N")="Y",$F519,0))</f>
      </c>
      <c r="I519" s="31">
        <f>IF($C519="",0,IF(IFERROR(VLOOKUP($C519,Setup!$A$2:$B$60,2,FALSE),"N")="Y",N($D519),0))</f>
      </c>
      <c r="J519" s="30">
        <f>IF($H519&gt;0,$I519/$H519,"")</f>
      </c>
    </row>
    <row r="520" spans="1:10" x14ac:dyDescent="0.25">
      <c r="A520" s="33">
        <v>46319</v>
      </c>
      <c r="B520" s="34" t="s">
        <v>37</v>
      </c>
      <c r="C520" s="35"/>
      <c r="D520" s="36"/>
      <c r="E520" s="36"/>
      <c r="F520" s="37">
        <f>IF($C520="","",IF($E520="",30,$E520)/60)</f>
      </c>
      <c r="G520" s="37">
        <f>IF($C520="","",(30-IF($E520="",30,$E520))/60)</f>
      </c>
      <c r="H520" s="37">
        <f>IF($C520="",0,IF(IFERROR(VLOOKUP($C520,Setup!$A$2:$B$60,2,FALSE),"N")="Y",$F520,0))</f>
      </c>
      <c r="I520" s="38">
        <f>IF($C520="",0,IF(IFERROR(VLOOKUP($C520,Setup!$A$2:$B$60,2,FALSE),"N")="Y",N($D520),0))</f>
      </c>
      <c r="J520" s="37">
        <f>IF($H520&gt;0,$I520/$H520,"")</f>
      </c>
    </row>
    <row r="521" spans="1:10" x14ac:dyDescent="0.25">
      <c r="A521" s="26">
        <v>46319</v>
      </c>
      <c r="B521" s="27" t="s">
        <v>38</v>
      </c>
      <c r="C521" s="28"/>
      <c r="D521" s="29"/>
      <c r="E521" s="29"/>
      <c r="F521" s="30">
        <f>IF($C521="","",IF($E521="",30,$E521)/60)</f>
      </c>
      <c r="G521" s="30">
        <f>IF($C521="","",(30-IF($E521="",30,$E521))/60)</f>
      </c>
      <c r="H521" s="30">
        <f>IF($C521="",0,IF(IFERROR(VLOOKUP($C521,Setup!$A$2:$B$60,2,FALSE),"N")="Y",$F521,0))</f>
      </c>
      <c r="I521" s="31">
        <f>IF($C521="",0,IF(IFERROR(VLOOKUP($C521,Setup!$A$2:$B$60,2,FALSE),"N")="Y",N($D521),0))</f>
      </c>
      <c r="J521" s="30">
        <f>IF($H521&gt;0,$I521/$H521,"")</f>
      </c>
    </row>
    <row r="522" spans="1:10" x14ac:dyDescent="0.25">
      <c r="A522" s="33">
        <v>46319</v>
      </c>
      <c r="B522" s="34" t="s">
        <v>39</v>
      </c>
      <c r="C522" s="35"/>
      <c r="D522" s="36"/>
      <c r="E522" s="36"/>
      <c r="F522" s="37">
        <f>IF($C522="","",IF($E522="",30,$E522)/60)</f>
      </c>
      <c r="G522" s="37">
        <f>IF($C522="","",(30-IF($E522="",30,$E522))/60)</f>
      </c>
      <c r="H522" s="37">
        <f>IF($C522="",0,IF(IFERROR(VLOOKUP($C522,Setup!$A$2:$B$60,2,FALSE),"N")="Y",$F522,0))</f>
      </c>
      <c r="I522" s="38">
        <f>IF($C522="",0,IF(IFERROR(VLOOKUP($C522,Setup!$A$2:$B$60,2,FALSE),"N")="Y",N($D522),0))</f>
      </c>
      <c r="J522" s="37">
        <f>IF($H522&gt;0,$I522/$H522,"")</f>
      </c>
    </row>
    <row r="523" spans="1:10" x14ac:dyDescent="0.25">
      <c r="A523" s="26">
        <v>46319</v>
      </c>
      <c r="B523" s="27" t="s">
        <v>40</v>
      </c>
      <c r="C523" s="28"/>
      <c r="D523" s="29"/>
      <c r="E523" s="29"/>
      <c r="F523" s="30">
        <f>IF($C523="","",IF($E523="",30,$E523)/60)</f>
      </c>
      <c r="G523" s="30">
        <f>IF($C523="","",(30-IF($E523="",30,$E523))/60)</f>
      </c>
      <c r="H523" s="30">
        <f>IF($C523="",0,IF(IFERROR(VLOOKUP($C523,Setup!$A$2:$B$60,2,FALSE),"N")="Y",$F523,0))</f>
      </c>
      <c r="I523" s="31">
        <f>IF($C523="",0,IF(IFERROR(VLOOKUP($C523,Setup!$A$2:$B$60,2,FALSE),"N")="Y",N($D523),0))</f>
      </c>
      <c r="J523" s="30">
        <f>IF($H523&gt;0,$I523/$H523,"")</f>
      </c>
    </row>
    <row r="524" spans="1:10" x14ac:dyDescent="0.25">
      <c r="A524" s="33">
        <v>46319</v>
      </c>
      <c r="B524" s="34" t="s">
        <v>41</v>
      </c>
      <c r="C524" s="35"/>
      <c r="D524" s="36"/>
      <c r="E524" s="36"/>
      <c r="F524" s="37">
        <f>IF($C524="","",IF($E524="",30,$E524)/60)</f>
      </c>
      <c r="G524" s="37">
        <f>IF($C524="","",(30-IF($E524="",30,$E524))/60)</f>
      </c>
      <c r="H524" s="37">
        <f>IF($C524="",0,IF(IFERROR(VLOOKUP($C524,Setup!$A$2:$B$60,2,FALSE),"N")="Y",$F524,0))</f>
      </c>
      <c r="I524" s="38">
        <f>IF($C524="",0,IF(IFERROR(VLOOKUP($C524,Setup!$A$2:$B$60,2,FALSE),"N")="Y",N($D524),0))</f>
      </c>
      <c r="J524" s="37">
        <f>IF($H524&gt;0,$I524/$H524,"")</f>
      </c>
    </row>
    <row r="525" spans="1:10" x14ac:dyDescent="0.25">
      <c r="A525" s="26">
        <v>46319</v>
      </c>
      <c r="B525" s="27" t="s">
        <v>42</v>
      </c>
      <c r="C525" s="28"/>
      <c r="D525" s="29"/>
      <c r="E525" s="29"/>
      <c r="F525" s="30">
        <f>IF($C525="","",IF($E525="",30,$E525)/60)</f>
      </c>
      <c r="G525" s="30">
        <f>IF($C525="","",(30-IF($E525="",30,$E525))/60)</f>
      </c>
      <c r="H525" s="30">
        <f>IF($C525="",0,IF(IFERROR(VLOOKUP($C525,Setup!$A$2:$B$60,2,FALSE),"N")="Y",$F525,0))</f>
      </c>
      <c r="I525" s="31">
        <f>IF($C525="",0,IF(IFERROR(VLOOKUP($C525,Setup!$A$2:$B$60,2,FALSE),"N")="Y",N($D525),0))</f>
      </c>
      <c r="J525" s="30">
        <f>IF($H525&gt;0,$I525/$H525,"")</f>
      </c>
    </row>
    <row r="526" spans="1:10" x14ac:dyDescent="0.25">
      <c r="A526" s="33">
        <v>46319</v>
      </c>
      <c r="B526" s="34" t="s">
        <v>43</v>
      </c>
      <c r="C526" s="35"/>
      <c r="D526" s="36"/>
      <c r="E526" s="36"/>
      <c r="F526" s="37">
        <f>IF($C526="","",IF($E526="",30,$E526)/60)</f>
      </c>
      <c r="G526" s="37">
        <f>IF($C526="","",(30-IF($E526="",30,$E526))/60)</f>
      </c>
      <c r="H526" s="37">
        <f>IF($C526="",0,IF(IFERROR(VLOOKUP($C526,Setup!$A$2:$B$60,2,FALSE),"N")="Y",$F526,0))</f>
      </c>
      <c r="I526" s="38">
        <f>IF($C526="",0,IF(IFERROR(VLOOKUP($C526,Setup!$A$2:$B$60,2,FALSE),"N")="Y",N($D526),0))</f>
      </c>
      <c r="J526" s="37">
        <f>IF($H526&gt;0,$I526/$H526,"")</f>
      </c>
    </row>
    <row r="527" spans="2:10" x14ac:dyDescent="0.25">
      <c r="B527" s="39" t="s">
        <v>44</v>
      </c>
      <c r="C527" s="40"/>
      <c r="D527" s="41">
        <f>SUM(I509:I526)</f>
      </c>
      <c r="E527" s="40"/>
      <c r="F527" s="42">
        <f>SUM(F509:F526)</f>
      </c>
      <c r="G527" s="42">
        <f>SUM(G509:G526)</f>
      </c>
      <c r="H527" s="42">
        <f>SUM(H509:H526)</f>
      </c>
      <c r="I527" s="40"/>
      <c r="J527" s="42">
        <f>IF(H527&gt;0,D527/H527,"")</f>
      </c>
    </row>
    <row r="529" ht="26" customHeight="1" spans="2:10" x14ac:dyDescent="0.25">
      <c r="B529" s="21">
        <v>46320</v>
      </c>
      <c r="C529" s="21"/>
      <c r="D529" s="21"/>
      <c r="E529" s="22" t="s">
        <v>21</v>
      </c>
      <c r="F529" s="22"/>
      <c r="G529" s="22"/>
      <c r="H529" s="22"/>
      <c r="I529" s="22"/>
      <c r="J529" s="22"/>
    </row>
    <row r="530" ht="18" customHeight="1" spans="2:10" x14ac:dyDescent="0.25">
      <c r="B530" s="23" t="s">
        <v>22</v>
      </c>
      <c r="C530" s="23" t="s">
        <v>19</v>
      </c>
      <c r="D530" s="24" t="s">
        <v>4</v>
      </c>
      <c r="E530" s="24" t="s">
        <v>23</v>
      </c>
      <c r="F530" s="25" t="s">
        <v>13</v>
      </c>
      <c r="G530" s="25" t="s">
        <v>24</v>
      </c>
      <c r="H530" s="25" t="s">
        <v>25</v>
      </c>
      <c r="I530" s="25" t="s">
        <v>4</v>
      </c>
      <c r="J530" s="25" t="s">
        <v>14</v>
      </c>
    </row>
    <row r="531" spans="1:11" x14ac:dyDescent="0.25">
      <c r="A531" s="26">
        <v>46320</v>
      </c>
      <c r="B531" s="27" t="s">
        <v>26</v>
      </c>
      <c r="C531" s="28"/>
      <c r="D531" s="29"/>
      <c r="E531" s="29"/>
      <c r="F531" s="30">
        <f>IF($C531="","",IF($E531="",30,$E531)/60)</f>
      </c>
      <c r="G531" s="30">
        <f>IF($C531="","",(30-IF($E531="",30,$E531))/60)</f>
      </c>
      <c r="H531" s="30">
        <f>IF($C531="",0,IF(IFERROR(VLOOKUP($C531,Setup!$A$2:$B$60,2,FALSE),"N")="Y",$F531,0))</f>
      </c>
      <c r="I531" s="31">
        <f>IF($C531="",0,IF(IFERROR(VLOOKUP($C531,Setup!$A$2:$B$60,2,FALSE),"N")="Y",N($D531),0))</f>
      </c>
      <c r="J531" s="30">
        <f>IF($H531&gt;0,$I531/$H531,"")</f>
      </c>
      <c r="K531" s="32">
        <f>IF($F549&gt;0,9,0)</f>
      </c>
    </row>
    <row r="532" spans="1:10" x14ac:dyDescent="0.25">
      <c r="A532" s="33">
        <v>46320</v>
      </c>
      <c r="B532" s="34" t="s">
        <v>27</v>
      </c>
      <c r="C532" s="35"/>
      <c r="D532" s="36"/>
      <c r="E532" s="36"/>
      <c r="F532" s="37">
        <f>IF($C532="","",IF($E532="",30,$E532)/60)</f>
      </c>
      <c r="G532" s="37">
        <f>IF($C532="","",(30-IF($E532="",30,$E532))/60)</f>
      </c>
      <c r="H532" s="37">
        <f>IF($C532="",0,IF(IFERROR(VLOOKUP($C532,Setup!$A$2:$B$60,2,FALSE),"N")="Y",$F532,0))</f>
      </c>
      <c r="I532" s="38">
        <f>IF($C532="",0,IF(IFERROR(VLOOKUP($C532,Setup!$A$2:$B$60,2,FALSE),"N")="Y",N($D532),0))</f>
      </c>
      <c r="J532" s="37">
        <f>IF($H532&gt;0,$I532/$H532,"")</f>
      </c>
    </row>
    <row r="533" spans="1:10" x14ac:dyDescent="0.25">
      <c r="A533" s="26">
        <v>46320</v>
      </c>
      <c r="B533" s="27" t="s">
        <v>28</v>
      </c>
      <c r="C533" s="28"/>
      <c r="D533" s="29"/>
      <c r="E533" s="29"/>
      <c r="F533" s="30">
        <f>IF($C533="","",IF($E533="",30,$E533)/60)</f>
      </c>
      <c r="G533" s="30">
        <f>IF($C533="","",(30-IF($E533="",30,$E533))/60)</f>
      </c>
      <c r="H533" s="30">
        <f>IF($C533="",0,IF(IFERROR(VLOOKUP($C533,Setup!$A$2:$B$60,2,FALSE),"N")="Y",$F533,0))</f>
      </c>
      <c r="I533" s="31">
        <f>IF($C533="",0,IF(IFERROR(VLOOKUP($C533,Setup!$A$2:$B$60,2,FALSE),"N")="Y",N($D533),0))</f>
      </c>
      <c r="J533" s="30">
        <f>IF($H533&gt;0,$I533/$H533,"")</f>
      </c>
    </row>
    <row r="534" spans="1:10" x14ac:dyDescent="0.25">
      <c r="A534" s="33">
        <v>46320</v>
      </c>
      <c r="B534" s="34" t="s">
        <v>29</v>
      </c>
      <c r="C534" s="35"/>
      <c r="D534" s="36"/>
      <c r="E534" s="36"/>
      <c r="F534" s="37">
        <f>IF($C534="","",IF($E534="",30,$E534)/60)</f>
      </c>
      <c r="G534" s="37">
        <f>IF($C534="","",(30-IF($E534="",30,$E534))/60)</f>
      </c>
      <c r="H534" s="37">
        <f>IF($C534="",0,IF(IFERROR(VLOOKUP($C534,Setup!$A$2:$B$60,2,FALSE),"N")="Y",$F534,0))</f>
      </c>
      <c r="I534" s="38">
        <f>IF($C534="",0,IF(IFERROR(VLOOKUP($C534,Setup!$A$2:$B$60,2,FALSE),"N")="Y",N($D534),0))</f>
      </c>
      <c r="J534" s="37">
        <f>IF($H534&gt;0,$I534/$H534,"")</f>
      </c>
    </row>
    <row r="535" spans="1:10" x14ac:dyDescent="0.25">
      <c r="A535" s="26">
        <v>46320</v>
      </c>
      <c r="B535" s="27" t="s">
        <v>30</v>
      </c>
      <c r="C535" s="28"/>
      <c r="D535" s="29"/>
      <c r="E535" s="29"/>
      <c r="F535" s="30">
        <f>IF($C535="","",IF($E535="",30,$E535)/60)</f>
      </c>
      <c r="G535" s="30">
        <f>IF($C535="","",(30-IF($E535="",30,$E535))/60)</f>
      </c>
      <c r="H535" s="30">
        <f>IF($C535="",0,IF(IFERROR(VLOOKUP($C535,Setup!$A$2:$B$60,2,FALSE),"N")="Y",$F535,0))</f>
      </c>
      <c r="I535" s="31">
        <f>IF($C535="",0,IF(IFERROR(VLOOKUP($C535,Setup!$A$2:$B$60,2,FALSE),"N")="Y",N($D535),0))</f>
      </c>
      <c r="J535" s="30">
        <f>IF($H535&gt;0,$I535/$H535,"")</f>
      </c>
    </row>
    <row r="536" spans="1:10" x14ac:dyDescent="0.25">
      <c r="A536" s="33">
        <v>46320</v>
      </c>
      <c r="B536" s="34" t="s">
        <v>31</v>
      </c>
      <c r="C536" s="35"/>
      <c r="D536" s="36"/>
      <c r="E536" s="36"/>
      <c r="F536" s="37">
        <f>IF($C536="","",IF($E536="",30,$E536)/60)</f>
      </c>
      <c r="G536" s="37">
        <f>IF($C536="","",(30-IF($E536="",30,$E536))/60)</f>
      </c>
      <c r="H536" s="37">
        <f>IF($C536="",0,IF(IFERROR(VLOOKUP($C536,Setup!$A$2:$B$60,2,FALSE),"N")="Y",$F536,0))</f>
      </c>
      <c r="I536" s="38">
        <f>IF($C536="",0,IF(IFERROR(VLOOKUP($C536,Setup!$A$2:$B$60,2,FALSE),"N")="Y",N($D536),0))</f>
      </c>
      <c r="J536" s="37">
        <f>IF($H536&gt;0,$I536/$H536,"")</f>
      </c>
    </row>
    <row r="537" spans="1:10" x14ac:dyDescent="0.25">
      <c r="A537" s="26">
        <v>46320</v>
      </c>
      <c r="B537" s="27" t="s">
        <v>32</v>
      </c>
      <c r="C537" s="28"/>
      <c r="D537" s="29"/>
      <c r="E537" s="29"/>
      <c r="F537" s="30">
        <f>IF($C537="","",IF($E537="",30,$E537)/60)</f>
      </c>
      <c r="G537" s="30">
        <f>IF($C537="","",(30-IF($E537="",30,$E537))/60)</f>
      </c>
      <c r="H537" s="30">
        <f>IF($C537="",0,IF(IFERROR(VLOOKUP($C537,Setup!$A$2:$B$60,2,FALSE),"N")="Y",$F537,0))</f>
      </c>
      <c r="I537" s="31">
        <f>IF($C537="",0,IF(IFERROR(VLOOKUP($C537,Setup!$A$2:$B$60,2,FALSE),"N")="Y",N($D537),0))</f>
      </c>
      <c r="J537" s="30">
        <f>IF($H537&gt;0,$I537/$H537,"")</f>
      </c>
    </row>
    <row r="538" spans="1:10" x14ac:dyDescent="0.25">
      <c r="A538" s="33">
        <v>46320</v>
      </c>
      <c r="B538" s="34" t="s">
        <v>33</v>
      </c>
      <c r="C538" s="35"/>
      <c r="D538" s="36"/>
      <c r="E538" s="36"/>
      <c r="F538" s="37">
        <f>IF($C538="","",IF($E538="",30,$E538)/60)</f>
      </c>
      <c r="G538" s="37">
        <f>IF($C538="","",(30-IF($E538="",30,$E538))/60)</f>
      </c>
      <c r="H538" s="37">
        <f>IF($C538="",0,IF(IFERROR(VLOOKUP($C538,Setup!$A$2:$B$60,2,FALSE),"N")="Y",$F538,0))</f>
      </c>
      <c r="I538" s="38">
        <f>IF($C538="",0,IF(IFERROR(VLOOKUP($C538,Setup!$A$2:$B$60,2,FALSE),"N")="Y",N($D538),0))</f>
      </c>
      <c r="J538" s="37">
        <f>IF($H538&gt;0,$I538/$H538,"")</f>
      </c>
    </row>
    <row r="539" spans="1:10" x14ac:dyDescent="0.25">
      <c r="A539" s="26">
        <v>46320</v>
      </c>
      <c r="B539" s="27" t="s">
        <v>34</v>
      </c>
      <c r="C539" s="28"/>
      <c r="D539" s="29"/>
      <c r="E539" s="29"/>
      <c r="F539" s="30">
        <f>IF($C539="","",IF($E539="",30,$E539)/60)</f>
      </c>
      <c r="G539" s="30">
        <f>IF($C539="","",(30-IF($E539="",30,$E539))/60)</f>
      </c>
      <c r="H539" s="30">
        <f>IF($C539="",0,IF(IFERROR(VLOOKUP($C539,Setup!$A$2:$B$60,2,FALSE),"N")="Y",$F539,0))</f>
      </c>
      <c r="I539" s="31">
        <f>IF($C539="",0,IF(IFERROR(VLOOKUP($C539,Setup!$A$2:$B$60,2,FALSE),"N")="Y",N($D539),0))</f>
      </c>
      <c r="J539" s="30">
        <f>IF($H539&gt;0,$I539/$H539,"")</f>
      </c>
    </row>
    <row r="540" spans="1:10" x14ac:dyDescent="0.25">
      <c r="A540" s="33">
        <v>46320</v>
      </c>
      <c r="B540" s="34" t="s">
        <v>35</v>
      </c>
      <c r="C540" s="35"/>
      <c r="D540" s="36"/>
      <c r="E540" s="36"/>
      <c r="F540" s="37">
        <f>IF($C540="","",IF($E540="",30,$E540)/60)</f>
      </c>
      <c r="G540" s="37">
        <f>IF($C540="","",(30-IF($E540="",30,$E540))/60)</f>
      </c>
      <c r="H540" s="37">
        <f>IF($C540="",0,IF(IFERROR(VLOOKUP($C540,Setup!$A$2:$B$60,2,FALSE),"N")="Y",$F540,0))</f>
      </c>
      <c r="I540" s="38">
        <f>IF($C540="",0,IF(IFERROR(VLOOKUP($C540,Setup!$A$2:$B$60,2,FALSE),"N")="Y",N($D540),0))</f>
      </c>
      <c r="J540" s="37">
        <f>IF($H540&gt;0,$I540/$H540,"")</f>
      </c>
    </row>
    <row r="541" spans="1:10" x14ac:dyDescent="0.25">
      <c r="A541" s="26">
        <v>46320</v>
      </c>
      <c r="B541" s="27" t="s">
        <v>36</v>
      </c>
      <c r="C541" s="28"/>
      <c r="D541" s="29"/>
      <c r="E541" s="29"/>
      <c r="F541" s="30">
        <f>IF($C541="","",IF($E541="",30,$E541)/60)</f>
      </c>
      <c r="G541" s="30">
        <f>IF($C541="","",(30-IF($E541="",30,$E541))/60)</f>
      </c>
      <c r="H541" s="30">
        <f>IF($C541="",0,IF(IFERROR(VLOOKUP($C541,Setup!$A$2:$B$60,2,FALSE),"N")="Y",$F541,0))</f>
      </c>
      <c r="I541" s="31">
        <f>IF($C541="",0,IF(IFERROR(VLOOKUP($C541,Setup!$A$2:$B$60,2,FALSE),"N")="Y",N($D541),0))</f>
      </c>
      <c r="J541" s="30">
        <f>IF($H541&gt;0,$I541/$H541,"")</f>
      </c>
    </row>
    <row r="542" spans="1:10" x14ac:dyDescent="0.25">
      <c r="A542" s="33">
        <v>46320</v>
      </c>
      <c r="B542" s="34" t="s">
        <v>37</v>
      </c>
      <c r="C542" s="35"/>
      <c r="D542" s="36"/>
      <c r="E542" s="36"/>
      <c r="F542" s="37">
        <f>IF($C542="","",IF($E542="",30,$E542)/60)</f>
      </c>
      <c r="G542" s="37">
        <f>IF($C542="","",(30-IF($E542="",30,$E542))/60)</f>
      </c>
      <c r="H542" s="37">
        <f>IF($C542="",0,IF(IFERROR(VLOOKUP($C542,Setup!$A$2:$B$60,2,FALSE),"N")="Y",$F542,0))</f>
      </c>
      <c r="I542" s="38">
        <f>IF($C542="",0,IF(IFERROR(VLOOKUP($C542,Setup!$A$2:$B$60,2,FALSE),"N")="Y",N($D542),0))</f>
      </c>
      <c r="J542" s="37">
        <f>IF($H542&gt;0,$I542/$H542,"")</f>
      </c>
    </row>
    <row r="543" spans="1:10" x14ac:dyDescent="0.25">
      <c r="A543" s="26">
        <v>46320</v>
      </c>
      <c r="B543" s="27" t="s">
        <v>38</v>
      </c>
      <c r="C543" s="28"/>
      <c r="D543" s="29"/>
      <c r="E543" s="29"/>
      <c r="F543" s="30">
        <f>IF($C543="","",IF($E543="",30,$E543)/60)</f>
      </c>
      <c r="G543" s="30">
        <f>IF($C543="","",(30-IF($E543="",30,$E543))/60)</f>
      </c>
      <c r="H543" s="30">
        <f>IF($C543="",0,IF(IFERROR(VLOOKUP($C543,Setup!$A$2:$B$60,2,FALSE),"N")="Y",$F543,0))</f>
      </c>
      <c r="I543" s="31">
        <f>IF($C543="",0,IF(IFERROR(VLOOKUP($C543,Setup!$A$2:$B$60,2,FALSE),"N")="Y",N($D543),0))</f>
      </c>
      <c r="J543" s="30">
        <f>IF($H543&gt;0,$I543/$H543,"")</f>
      </c>
    </row>
    <row r="544" spans="1:10" x14ac:dyDescent="0.25">
      <c r="A544" s="33">
        <v>46320</v>
      </c>
      <c r="B544" s="34" t="s">
        <v>39</v>
      </c>
      <c r="C544" s="35"/>
      <c r="D544" s="36"/>
      <c r="E544" s="36"/>
      <c r="F544" s="37">
        <f>IF($C544="","",IF($E544="",30,$E544)/60)</f>
      </c>
      <c r="G544" s="37">
        <f>IF($C544="","",(30-IF($E544="",30,$E544))/60)</f>
      </c>
      <c r="H544" s="37">
        <f>IF($C544="",0,IF(IFERROR(VLOOKUP($C544,Setup!$A$2:$B$60,2,FALSE),"N")="Y",$F544,0))</f>
      </c>
      <c r="I544" s="38">
        <f>IF($C544="",0,IF(IFERROR(VLOOKUP($C544,Setup!$A$2:$B$60,2,FALSE),"N")="Y",N($D544),0))</f>
      </c>
      <c r="J544" s="37">
        <f>IF($H544&gt;0,$I544/$H544,"")</f>
      </c>
    </row>
    <row r="545" spans="1:10" x14ac:dyDescent="0.25">
      <c r="A545" s="26">
        <v>46320</v>
      </c>
      <c r="B545" s="27" t="s">
        <v>40</v>
      </c>
      <c r="C545" s="28"/>
      <c r="D545" s="29"/>
      <c r="E545" s="29"/>
      <c r="F545" s="30">
        <f>IF($C545="","",IF($E545="",30,$E545)/60)</f>
      </c>
      <c r="G545" s="30">
        <f>IF($C545="","",(30-IF($E545="",30,$E545))/60)</f>
      </c>
      <c r="H545" s="30">
        <f>IF($C545="",0,IF(IFERROR(VLOOKUP($C545,Setup!$A$2:$B$60,2,FALSE),"N")="Y",$F545,0))</f>
      </c>
      <c r="I545" s="31">
        <f>IF($C545="",0,IF(IFERROR(VLOOKUP($C545,Setup!$A$2:$B$60,2,FALSE),"N")="Y",N($D545),0))</f>
      </c>
      <c r="J545" s="30">
        <f>IF($H545&gt;0,$I545/$H545,"")</f>
      </c>
    </row>
    <row r="546" spans="1:10" x14ac:dyDescent="0.25">
      <c r="A546" s="33">
        <v>46320</v>
      </c>
      <c r="B546" s="34" t="s">
        <v>41</v>
      </c>
      <c r="C546" s="35"/>
      <c r="D546" s="36"/>
      <c r="E546" s="36"/>
      <c r="F546" s="37">
        <f>IF($C546="","",IF($E546="",30,$E546)/60)</f>
      </c>
      <c r="G546" s="37">
        <f>IF($C546="","",(30-IF($E546="",30,$E546))/60)</f>
      </c>
      <c r="H546" s="37">
        <f>IF($C546="",0,IF(IFERROR(VLOOKUP($C546,Setup!$A$2:$B$60,2,FALSE),"N")="Y",$F546,0))</f>
      </c>
      <c r="I546" s="38">
        <f>IF($C546="",0,IF(IFERROR(VLOOKUP($C546,Setup!$A$2:$B$60,2,FALSE),"N")="Y",N($D546),0))</f>
      </c>
      <c r="J546" s="37">
        <f>IF($H546&gt;0,$I546/$H546,"")</f>
      </c>
    </row>
    <row r="547" spans="1:10" x14ac:dyDescent="0.25">
      <c r="A547" s="26">
        <v>46320</v>
      </c>
      <c r="B547" s="27" t="s">
        <v>42</v>
      </c>
      <c r="C547" s="28"/>
      <c r="D547" s="29"/>
      <c r="E547" s="29"/>
      <c r="F547" s="30">
        <f>IF($C547="","",IF($E547="",30,$E547)/60)</f>
      </c>
      <c r="G547" s="30">
        <f>IF($C547="","",(30-IF($E547="",30,$E547))/60)</f>
      </c>
      <c r="H547" s="30">
        <f>IF($C547="",0,IF(IFERROR(VLOOKUP($C547,Setup!$A$2:$B$60,2,FALSE),"N")="Y",$F547,0))</f>
      </c>
      <c r="I547" s="31">
        <f>IF($C547="",0,IF(IFERROR(VLOOKUP($C547,Setup!$A$2:$B$60,2,FALSE),"N")="Y",N($D547),0))</f>
      </c>
      <c r="J547" s="30">
        <f>IF($H547&gt;0,$I547/$H547,"")</f>
      </c>
    </row>
    <row r="548" spans="1:10" x14ac:dyDescent="0.25">
      <c r="A548" s="33">
        <v>46320</v>
      </c>
      <c r="B548" s="34" t="s">
        <v>43</v>
      </c>
      <c r="C548" s="35"/>
      <c r="D548" s="36"/>
      <c r="E548" s="36"/>
      <c r="F548" s="37">
        <f>IF($C548="","",IF($E548="",30,$E548)/60)</f>
      </c>
      <c r="G548" s="37">
        <f>IF($C548="","",(30-IF($E548="",30,$E548))/60)</f>
      </c>
      <c r="H548" s="37">
        <f>IF($C548="",0,IF(IFERROR(VLOOKUP($C548,Setup!$A$2:$B$60,2,FALSE),"N")="Y",$F548,0))</f>
      </c>
      <c r="I548" s="38">
        <f>IF($C548="",0,IF(IFERROR(VLOOKUP($C548,Setup!$A$2:$B$60,2,FALSE),"N")="Y",N($D548),0))</f>
      </c>
      <c r="J548" s="37">
        <f>IF($H548&gt;0,$I548/$H548,"")</f>
      </c>
    </row>
    <row r="549" spans="2:10" x14ac:dyDescent="0.25">
      <c r="B549" s="39" t="s">
        <v>44</v>
      </c>
      <c r="C549" s="40"/>
      <c r="D549" s="41">
        <f>SUM(I531:I548)</f>
      </c>
      <c r="E549" s="40"/>
      <c r="F549" s="42">
        <f>SUM(F531:F548)</f>
      </c>
      <c r="G549" s="42">
        <f>SUM(G531:G548)</f>
      </c>
      <c r="H549" s="42">
        <f>SUM(H531:H548)</f>
      </c>
      <c r="I549" s="40"/>
      <c r="J549" s="42">
        <f>IF(H549&gt;0,D549/H549,"")</f>
      </c>
    </row>
    <row r="551" ht="26" customHeight="1" spans="2:10" x14ac:dyDescent="0.25">
      <c r="B551" s="21">
        <v>46321</v>
      </c>
      <c r="C551" s="21"/>
      <c r="D551" s="21"/>
      <c r="E551" s="22" t="s">
        <v>21</v>
      </c>
      <c r="F551" s="22"/>
      <c r="G551" s="22"/>
      <c r="H551" s="22"/>
      <c r="I551" s="22"/>
      <c r="J551" s="22"/>
    </row>
    <row r="552" ht="18" customHeight="1" spans="2:10" x14ac:dyDescent="0.25">
      <c r="B552" s="23" t="s">
        <v>22</v>
      </c>
      <c r="C552" s="23" t="s">
        <v>19</v>
      </c>
      <c r="D552" s="24" t="s">
        <v>4</v>
      </c>
      <c r="E552" s="24" t="s">
        <v>23</v>
      </c>
      <c r="F552" s="25" t="s">
        <v>13</v>
      </c>
      <c r="G552" s="25" t="s">
        <v>24</v>
      </c>
      <c r="H552" s="25" t="s">
        <v>25</v>
      </c>
      <c r="I552" s="25" t="s">
        <v>4</v>
      </c>
      <c r="J552" s="25" t="s">
        <v>14</v>
      </c>
    </row>
    <row r="553" spans="1:11" x14ac:dyDescent="0.25">
      <c r="A553" s="26">
        <v>46321</v>
      </c>
      <c r="B553" s="27" t="s">
        <v>26</v>
      </c>
      <c r="C553" s="28"/>
      <c r="D553" s="29"/>
      <c r="E553" s="29"/>
      <c r="F553" s="30">
        <f>IF($C553="","",IF($E553="",30,$E553)/60)</f>
      </c>
      <c r="G553" s="30">
        <f>IF($C553="","",(30-IF($E553="",30,$E553))/60)</f>
      </c>
      <c r="H553" s="30">
        <f>IF($C553="",0,IF(IFERROR(VLOOKUP($C553,Setup!$A$2:$B$60,2,FALSE),"N")="Y",$F553,0))</f>
      </c>
      <c r="I553" s="31">
        <f>IF($C553="",0,IF(IFERROR(VLOOKUP($C553,Setup!$A$2:$B$60,2,FALSE),"N")="Y",N($D553),0))</f>
      </c>
      <c r="J553" s="30">
        <f>IF($H553&gt;0,$I553/$H553,"")</f>
      </c>
      <c r="K553" s="32">
        <f>IF($F571&gt;0,9,0)</f>
      </c>
    </row>
    <row r="554" spans="1:10" x14ac:dyDescent="0.25">
      <c r="A554" s="33">
        <v>46321</v>
      </c>
      <c r="B554" s="34" t="s">
        <v>27</v>
      </c>
      <c r="C554" s="35"/>
      <c r="D554" s="36"/>
      <c r="E554" s="36"/>
      <c r="F554" s="37">
        <f>IF($C554="","",IF($E554="",30,$E554)/60)</f>
      </c>
      <c r="G554" s="37">
        <f>IF($C554="","",(30-IF($E554="",30,$E554))/60)</f>
      </c>
      <c r="H554" s="37">
        <f>IF($C554="",0,IF(IFERROR(VLOOKUP($C554,Setup!$A$2:$B$60,2,FALSE),"N")="Y",$F554,0))</f>
      </c>
      <c r="I554" s="38">
        <f>IF($C554="",0,IF(IFERROR(VLOOKUP($C554,Setup!$A$2:$B$60,2,FALSE),"N")="Y",N($D554),0))</f>
      </c>
      <c r="J554" s="37">
        <f>IF($H554&gt;0,$I554/$H554,"")</f>
      </c>
    </row>
    <row r="555" spans="1:10" x14ac:dyDescent="0.25">
      <c r="A555" s="26">
        <v>46321</v>
      </c>
      <c r="B555" s="27" t="s">
        <v>28</v>
      </c>
      <c r="C555" s="28"/>
      <c r="D555" s="29"/>
      <c r="E555" s="29"/>
      <c r="F555" s="30">
        <f>IF($C555="","",IF($E555="",30,$E555)/60)</f>
      </c>
      <c r="G555" s="30">
        <f>IF($C555="","",(30-IF($E555="",30,$E555))/60)</f>
      </c>
      <c r="H555" s="30">
        <f>IF($C555="",0,IF(IFERROR(VLOOKUP($C555,Setup!$A$2:$B$60,2,FALSE),"N")="Y",$F555,0))</f>
      </c>
      <c r="I555" s="31">
        <f>IF($C555="",0,IF(IFERROR(VLOOKUP($C555,Setup!$A$2:$B$60,2,FALSE),"N")="Y",N($D555),0))</f>
      </c>
      <c r="J555" s="30">
        <f>IF($H555&gt;0,$I555/$H555,"")</f>
      </c>
    </row>
    <row r="556" spans="1:10" x14ac:dyDescent="0.25">
      <c r="A556" s="33">
        <v>46321</v>
      </c>
      <c r="B556" s="34" t="s">
        <v>29</v>
      </c>
      <c r="C556" s="35"/>
      <c r="D556" s="36"/>
      <c r="E556" s="36"/>
      <c r="F556" s="37">
        <f>IF($C556="","",IF($E556="",30,$E556)/60)</f>
      </c>
      <c r="G556" s="37">
        <f>IF($C556="","",(30-IF($E556="",30,$E556))/60)</f>
      </c>
      <c r="H556" s="37">
        <f>IF($C556="",0,IF(IFERROR(VLOOKUP($C556,Setup!$A$2:$B$60,2,FALSE),"N")="Y",$F556,0))</f>
      </c>
      <c r="I556" s="38">
        <f>IF($C556="",0,IF(IFERROR(VLOOKUP($C556,Setup!$A$2:$B$60,2,FALSE),"N")="Y",N($D556),0))</f>
      </c>
      <c r="J556" s="37">
        <f>IF($H556&gt;0,$I556/$H556,"")</f>
      </c>
    </row>
    <row r="557" spans="1:10" x14ac:dyDescent="0.25">
      <c r="A557" s="26">
        <v>46321</v>
      </c>
      <c r="B557" s="27" t="s">
        <v>30</v>
      </c>
      <c r="C557" s="28"/>
      <c r="D557" s="29"/>
      <c r="E557" s="29"/>
      <c r="F557" s="30">
        <f>IF($C557="","",IF($E557="",30,$E557)/60)</f>
      </c>
      <c r="G557" s="30">
        <f>IF($C557="","",(30-IF($E557="",30,$E557))/60)</f>
      </c>
      <c r="H557" s="30">
        <f>IF($C557="",0,IF(IFERROR(VLOOKUP($C557,Setup!$A$2:$B$60,2,FALSE),"N")="Y",$F557,0))</f>
      </c>
      <c r="I557" s="31">
        <f>IF($C557="",0,IF(IFERROR(VLOOKUP($C557,Setup!$A$2:$B$60,2,FALSE),"N")="Y",N($D557),0))</f>
      </c>
      <c r="J557" s="30">
        <f>IF($H557&gt;0,$I557/$H557,"")</f>
      </c>
    </row>
    <row r="558" spans="1:10" x14ac:dyDescent="0.25">
      <c r="A558" s="33">
        <v>46321</v>
      </c>
      <c r="B558" s="34" t="s">
        <v>31</v>
      </c>
      <c r="C558" s="35"/>
      <c r="D558" s="36"/>
      <c r="E558" s="36"/>
      <c r="F558" s="37">
        <f>IF($C558="","",IF($E558="",30,$E558)/60)</f>
      </c>
      <c r="G558" s="37">
        <f>IF($C558="","",(30-IF($E558="",30,$E558))/60)</f>
      </c>
      <c r="H558" s="37">
        <f>IF($C558="",0,IF(IFERROR(VLOOKUP($C558,Setup!$A$2:$B$60,2,FALSE),"N")="Y",$F558,0))</f>
      </c>
      <c r="I558" s="38">
        <f>IF($C558="",0,IF(IFERROR(VLOOKUP($C558,Setup!$A$2:$B$60,2,FALSE),"N")="Y",N($D558),0))</f>
      </c>
      <c r="J558" s="37">
        <f>IF($H558&gt;0,$I558/$H558,"")</f>
      </c>
    </row>
    <row r="559" spans="1:10" x14ac:dyDescent="0.25">
      <c r="A559" s="26">
        <v>46321</v>
      </c>
      <c r="B559" s="27" t="s">
        <v>32</v>
      </c>
      <c r="C559" s="28"/>
      <c r="D559" s="29"/>
      <c r="E559" s="29"/>
      <c r="F559" s="30">
        <f>IF($C559="","",IF($E559="",30,$E559)/60)</f>
      </c>
      <c r="G559" s="30">
        <f>IF($C559="","",(30-IF($E559="",30,$E559))/60)</f>
      </c>
      <c r="H559" s="30">
        <f>IF($C559="",0,IF(IFERROR(VLOOKUP($C559,Setup!$A$2:$B$60,2,FALSE),"N")="Y",$F559,0))</f>
      </c>
      <c r="I559" s="31">
        <f>IF($C559="",0,IF(IFERROR(VLOOKUP($C559,Setup!$A$2:$B$60,2,FALSE),"N")="Y",N($D559),0))</f>
      </c>
      <c r="J559" s="30">
        <f>IF($H559&gt;0,$I559/$H559,"")</f>
      </c>
    </row>
    <row r="560" spans="1:10" x14ac:dyDescent="0.25">
      <c r="A560" s="33">
        <v>46321</v>
      </c>
      <c r="B560" s="34" t="s">
        <v>33</v>
      </c>
      <c r="C560" s="35"/>
      <c r="D560" s="36"/>
      <c r="E560" s="36"/>
      <c r="F560" s="37">
        <f>IF($C560="","",IF($E560="",30,$E560)/60)</f>
      </c>
      <c r="G560" s="37">
        <f>IF($C560="","",(30-IF($E560="",30,$E560))/60)</f>
      </c>
      <c r="H560" s="37">
        <f>IF($C560="",0,IF(IFERROR(VLOOKUP($C560,Setup!$A$2:$B$60,2,FALSE),"N")="Y",$F560,0))</f>
      </c>
      <c r="I560" s="38">
        <f>IF($C560="",0,IF(IFERROR(VLOOKUP($C560,Setup!$A$2:$B$60,2,FALSE),"N")="Y",N($D560),0))</f>
      </c>
      <c r="J560" s="37">
        <f>IF($H560&gt;0,$I560/$H560,"")</f>
      </c>
    </row>
    <row r="561" spans="1:10" x14ac:dyDescent="0.25">
      <c r="A561" s="26">
        <v>46321</v>
      </c>
      <c r="B561" s="27" t="s">
        <v>34</v>
      </c>
      <c r="C561" s="28"/>
      <c r="D561" s="29"/>
      <c r="E561" s="29"/>
      <c r="F561" s="30">
        <f>IF($C561="","",IF($E561="",30,$E561)/60)</f>
      </c>
      <c r="G561" s="30">
        <f>IF($C561="","",(30-IF($E561="",30,$E561))/60)</f>
      </c>
      <c r="H561" s="30">
        <f>IF($C561="",0,IF(IFERROR(VLOOKUP($C561,Setup!$A$2:$B$60,2,FALSE),"N")="Y",$F561,0))</f>
      </c>
      <c r="I561" s="31">
        <f>IF($C561="",0,IF(IFERROR(VLOOKUP($C561,Setup!$A$2:$B$60,2,FALSE),"N")="Y",N($D561),0))</f>
      </c>
      <c r="J561" s="30">
        <f>IF($H561&gt;0,$I561/$H561,"")</f>
      </c>
    </row>
    <row r="562" spans="1:10" x14ac:dyDescent="0.25">
      <c r="A562" s="33">
        <v>46321</v>
      </c>
      <c r="B562" s="34" t="s">
        <v>35</v>
      </c>
      <c r="C562" s="35"/>
      <c r="D562" s="36"/>
      <c r="E562" s="36"/>
      <c r="F562" s="37">
        <f>IF($C562="","",IF($E562="",30,$E562)/60)</f>
      </c>
      <c r="G562" s="37">
        <f>IF($C562="","",(30-IF($E562="",30,$E562))/60)</f>
      </c>
      <c r="H562" s="37">
        <f>IF($C562="",0,IF(IFERROR(VLOOKUP($C562,Setup!$A$2:$B$60,2,FALSE),"N")="Y",$F562,0))</f>
      </c>
      <c r="I562" s="38">
        <f>IF($C562="",0,IF(IFERROR(VLOOKUP($C562,Setup!$A$2:$B$60,2,FALSE),"N")="Y",N($D562),0))</f>
      </c>
      <c r="J562" s="37">
        <f>IF($H562&gt;0,$I562/$H562,"")</f>
      </c>
    </row>
    <row r="563" spans="1:10" x14ac:dyDescent="0.25">
      <c r="A563" s="26">
        <v>46321</v>
      </c>
      <c r="B563" s="27" t="s">
        <v>36</v>
      </c>
      <c r="C563" s="28"/>
      <c r="D563" s="29"/>
      <c r="E563" s="29"/>
      <c r="F563" s="30">
        <f>IF($C563="","",IF($E563="",30,$E563)/60)</f>
      </c>
      <c r="G563" s="30">
        <f>IF($C563="","",(30-IF($E563="",30,$E563))/60)</f>
      </c>
      <c r="H563" s="30">
        <f>IF($C563="",0,IF(IFERROR(VLOOKUP($C563,Setup!$A$2:$B$60,2,FALSE),"N")="Y",$F563,0))</f>
      </c>
      <c r="I563" s="31">
        <f>IF($C563="",0,IF(IFERROR(VLOOKUP($C563,Setup!$A$2:$B$60,2,FALSE),"N")="Y",N($D563),0))</f>
      </c>
      <c r="J563" s="30">
        <f>IF($H563&gt;0,$I563/$H563,"")</f>
      </c>
    </row>
    <row r="564" spans="1:10" x14ac:dyDescent="0.25">
      <c r="A564" s="33">
        <v>46321</v>
      </c>
      <c r="B564" s="34" t="s">
        <v>37</v>
      </c>
      <c r="C564" s="35"/>
      <c r="D564" s="36"/>
      <c r="E564" s="36"/>
      <c r="F564" s="37">
        <f>IF($C564="","",IF($E564="",30,$E564)/60)</f>
      </c>
      <c r="G564" s="37">
        <f>IF($C564="","",(30-IF($E564="",30,$E564))/60)</f>
      </c>
      <c r="H564" s="37">
        <f>IF($C564="",0,IF(IFERROR(VLOOKUP($C564,Setup!$A$2:$B$60,2,FALSE),"N")="Y",$F564,0))</f>
      </c>
      <c r="I564" s="38">
        <f>IF($C564="",0,IF(IFERROR(VLOOKUP($C564,Setup!$A$2:$B$60,2,FALSE),"N")="Y",N($D564),0))</f>
      </c>
      <c r="J564" s="37">
        <f>IF($H564&gt;0,$I564/$H564,"")</f>
      </c>
    </row>
    <row r="565" spans="1:10" x14ac:dyDescent="0.25">
      <c r="A565" s="26">
        <v>46321</v>
      </c>
      <c r="B565" s="27" t="s">
        <v>38</v>
      </c>
      <c r="C565" s="28"/>
      <c r="D565" s="29"/>
      <c r="E565" s="29"/>
      <c r="F565" s="30">
        <f>IF($C565="","",IF($E565="",30,$E565)/60)</f>
      </c>
      <c r="G565" s="30">
        <f>IF($C565="","",(30-IF($E565="",30,$E565))/60)</f>
      </c>
      <c r="H565" s="30">
        <f>IF($C565="",0,IF(IFERROR(VLOOKUP($C565,Setup!$A$2:$B$60,2,FALSE),"N")="Y",$F565,0))</f>
      </c>
      <c r="I565" s="31">
        <f>IF($C565="",0,IF(IFERROR(VLOOKUP($C565,Setup!$A$2:$B$60,2,FALSE),"N")="Y",N($D565),0))</f>
      </c>
      <c r="J565" s="30">
        <f>IF($H565&gt;0,$I565/$H565,"")</f>
      </c>
    </row>
    <row r="566" spans="1:10" x14ac:dyDescent="0.25">
      <c r="A566" s="33">
        <v>46321</v>
      </c>
      <c r="B566" s="34" t="s">
        <v>39</v>
      </c>
      <c r="C566" s="35"/>
      <c r="D566" s="36"/>
      <c r="E566" s="36"/>
      <c r="F566" s="37">
        <f>IF($C566="","",IF($E566="",30,$E566)/60)</f>
      </c>
      <c r="G566" s="37">
        <f>IF($C566="","",(30-IF($E566="",30,$E566))/60)</f>
      </c>
      <c r="H566" s="37">
        <f>IF($C566="",0,IF(IFERROR(VLOOKUP($C566,Setup!$A$2:$B$60,2,FALSE),"N")="Y",$F566,0))</f>
      </c>
      <c r="I566" s="38">
        <f>IF($C566="",0,IF(IFERROR(VLOOKUP($C566,Setup!$A$2:$B$60,2,FALSE),"N")="Y",N($D566),0))</f>
      </c>
      <c r="J566" s="37">
        <f>IF($H566&gt;0,$I566/$H566,"")</f>
      </c>
    </row>
    <row r="567" spans="1:10" x14ac:dyDescent="0.25">
      <c r="A567" s="26">
        <v>46321</v>
      </c>
      <c r="B567" s="27" t="s">
        <v>40</v>
      </c>
      <c r="C567" s="28"/>
      <c r="D567" s="29"/>
      <c r="E567" s="29"/>
      <c r="F567" s="30">
        <f>IF($C567="","",IF($E567="",30,$E567)/60)</f>
      </c>
      <c r="G567" s="30">
        <f>IF($C567="","",(30-IF($E567="",30,$E567))/60)</f>
      </c>
      <c r="H567" s="30">
        <f>IF($C567="",0,IF(IFERROR(VLOOKUP($C567,Setup!$A$2:$B$60,2,FALSE),"N")="Y",$F567,0))</f>
      </c>
      <c r="I567" s="31">
        <f>IF($C567="",0,IF(IFERROR(VLOOKUP($C567,Setup!$A$2:$B$60,2,FALSE),"N")="Y",N($D567),0))</f>
      </c>
      <c r="J567" s="30">
        <f>IF($H567&gt;0,$I567/$H567,"")</f>
      </c>
    </row>
    <row r="568" spans="1:10" x14ac:dyDescent="0.25">
      <c r="A568" s="33">
        <v>46321</v>
      </c>
      <c r="B568" s="34" t="s">
        <v>41</v>
      </c>
      <c r="C568" s="35"/>
      <c r="D568" s="36"/>
      <c r="E568" s="36"/>
      <c r="F568" s="37">
        <f>IF($C568="","",IF($E568="",30,$E568)/60)</f>
      </c>
      <c r="G568" s="37">
        <f>IF($C568="","",(30-IF($E568="",30,$E568))/60)</f>
      </c>
      <c r="H568" s="37">
        <f>IF($C568="",0,IF(IFERROR(VLOOKUP($C568,Setup!$A$2:$B$60,2,FALSE),"N")="Y",$F568,0))</f>
      </c>
      <c r="I568" s="38">
        <f>IF($C568="",0,IF(IFERROR(VLOOKUP($C568,Setup!$A$2:$B$60,2,FALSE),"N")="Y",N($D568),0))</f>
      </c>
      <c r="J568" s="37">
        <f>IF($H568&gt;0,$I568/$H568,"")</f>
      </c>
    </row>
    <row r="569" spans="1:10" x14ac:dyDescent="0.25">
      <c r="A569" s="26">
        <v>46321</v>
      </c>
      <c r="B569" s="27" t="s">
        <v>42</v>
      </c>
      <c r="C569" s="28"/>
      <c r="D569" s="29"/>
      <c r="E569" s="29"/>
      <c r="F569" s="30">
        <f>IF($C569="","",IF($E569="",30,$E569)/60)</f>
      </c>
      <c r="G569" s="30">
        <f>IF($C569="","",(30-IF($E569="",30,$E569))/60)</f>
      </c>
      <c r="H569" s="30">
        <f>IF($C569="",0,IF(IFERROR(VLOOKUP($C569,Setup!$A$2:$B$60,2,FALSE),"N")="Y",$F569,0))</f>
      </c>
      <c r="I569" s="31">
        <f>IF($C569="",0,IF(IFERROR(VLOOKUP($C569,Setup!$A$2:$B$60,2,FALSE),"N")="Y",N($D569),0))</f>
      </c>
      <c r="J569" s="30">
        <f>IF($H569&gt;0,$I569/$H569,"")</f>
      </c>
    </row>
    <row r="570" spans="1:10" x14ac:dyDescent="0.25">
      <c r="A570" s="33">
        <v>46321</v>
      </c>
      <c r="B570" s="34" t="s">
        <v>43</v>
      </c>
      <c r="C570" s="35"/>
      <c r="D570" s="36"/>
      <c r="E570" s="36"/>
      <c r="F570" s="37">
        <f>IF($C570="","",IF($E570="",30,$E570)/60)</f>
      </c>
      <c r="G570" s="37">
        <f>IF($C570="","",(30-IF($E570="",30,$E570))/60)</f>
      </c>
      <c r="H570" s="37">
        <f>IF($C570="",0,IF(IFERROR(VLOOKUP($C570,Setup!$A$2:$B$60,2,FALSE),"N")="Y",$F570,0))</f>
      </c>
      <c r="I570" s="38">
        <f>IF($C570="",0,IF(IFERROR(VLOOKUP($C570,Setup!$A$2:$B$60,2,FALSE),"N")="Y",N($D570),0))</f>
      </c>
      <c r="J570" s="37">
        <f>IF($H570&gt;0,$I570/$H570,"")</f>
      </c>
    </row>
    <row r="571" spans="2:10" x14ac:dyDescent="0.25">
      <c r="B571" s="39" t="s">
        <v>44</v>
      </c>
      <c r="C571" s="40"/>
      <c r="D571" s="41">
        <f>SUM(I553:I570)</f>
      </c>
      <c r="E571" s="40"/>
      <c r="F571" s="42">
        <f>SUM(F553:F570)</f>
      </c>
      <c r="G571" s="42">
        <f>SUM(G553:G570)</f>
      </c>
      <c r="H571" s="42">
        <f>SUM(H553:H570)</f>
      </c>
      <c r="I571" s="40"/>
      <c r="J571" s="42">
        <f>IF(H571&gt;0,D571/H571,"")</f>
      </c>
    </row>
    <row r="573" ht="26" customHeight="1" spans="2:10" x14ac:dyDescent="0.25">
      <c r="B573" s="21">
        <v>46322</v>
      </c>
      <c r="C573" s="21"/>
      <c r="D573" s="21"/>
      <c r="E573" s="22" t="s">
        <v>21</v>
      </c>
      <c r="F573" s="22"/>
      <c r="G573" s="22"/>
      <c r="H573" s="22"/>
      <c r="I573" s="22"/>
      <c r="J573" s="22"/>
    </row>
    <row r="574" ht="18" customHeight="1" spans="2:10" x14ac:dyDescent="0.25">
      <c r="B574" s="23" t="s">
        <v>22</v>
      </c>
      <c r="C574" s="23" t="s">
        <v>19</v>
      </c>
      <c r="D574" s="24" t="s">
        <v>4</v>
      </c>
      <c r="E574" s="24" t="s">
        <v>23</v>
      </c>
      <c r="F574" s="25" t="s">
        <v>13</v>
      </c>
      <c r="G574" s="25" t="s">
        <v>24</v>
      </c>
      <c r="H574" s="25" t="s">
        <v>25</v>
      </c>
      <c r="I574" s="25" t="s">
        <v>4</v>
      </c>
      <c r="J574" s="25" t="s">
        <v>14</v>
      </c>
    </row>
    <row r="575" spans="1:11" x14ac:dyDescent="0.25">
      <c r="A575" s="26">
        <v>46322</v>
      </c>
      <c r="B575" s="27" t="s">
        <v>26</v>
      </c>
      <c r="C575" s="28"/>
      <c r="D575" s="29"/>
      <c r="E575" s="29"/>
      <c r="F575" s="30">
        <f>IF($C575="","",IF($E575="",30,$E575)/60)</f>
      </c>
      <c r="G575" s="30">
        <f>IF($C575="","",(30-IF($E575="",30,$E575))/60)</f>
      </c>
      <c r="H575" s="30">
        <f>IF($C575="",0,IF(IFERROR(VLOOKUP($C575,Setup!$A$2:$B$60,2,FALSE),"N")="Y",$F575,0))</f>
      </c>
      <c r="I575" s="31">
        <f>IF($C575="",0,IF(IFERROR(VLOOKUP($C575,Setup!$A$2:$B$60,2,FALSE),"N")="Y",N($D575),0))</f>
      </c>
      <c r="J575" s="30">
        <f>IF($H575&gt;0,$I575/$H575,"")</f>
      </c>
      <c r="K575" s="32">
        <f>IF($F593&gt;0,9,0)</f>
      </c>
    </row>
    <row r="576" spans="1:10" x14ac:dyDescent="0.25">
      <c r="A576" s="33">
        <v>46322</v>
      </c>
      <c r="B576" s="34" t="s">
        <v>27</v>
      </c>
      <c r="C576" s="35"/>
      <c r="D576" s="36"/>
      <c r="E576" s="36"/>
      <c r="F576" s="37">
        <f>IF($C576="","",IF($E576="",30,$E576)/60)</f>
      </c>
      <c r="G576" s="37">
        <f>IF($C576="","",(30-IF($E576="",30,$E576))/60)</f>
      </c>
      <c r="H576" s="37">
        <f>IF($C576="",0,IF(IFERROR(VLOOKUP($C576,Setup!$A$2:$B$60,2,FALSE),"N")="Y",$F576,0))</f>
      </c>
      <c r="I576" s="38">
        <f>IF($C576="",0,IF(IFERROR(VLOOKUP($C576,Setup!$A$2:$B$60,2,FALSE),"N")="Y",N($D576),0))</f>
      </c>
      <c r="J576" s="37">
        <f>IF($H576&gt;0,$I576/$H576,"")</f>
      </c>
    </row>
    <row r="577" spans="1:10" x14ac:dyDescent="0.25">
      <c r="A577" s="26">
        <v>46322</v>
      </c>
      <c r="B577" s="27" t="s">
        <v>28</v>
      </c>
      <c r="C577" s="28"/>
      <c r="D577" s="29"/>
      <c r="E577" s="29"/>
      <c r="F577" s="30">
        <f>IF($C577="","",IF($E577="",30,$E577)/60)</f>
      </c>
      <c r="G577" s="30">
        <f>IF($C577="","",(30-IF($E577="",30,$E577))/60)</f>
      </c>
      <c r="H577" s="30">
        <f>IF($C577="",0,IF(IFERROR(VLOOKUP($C577,Setup!$A$2:$B$60,2,FALSE),"N")="Y",$F577,0))</f>
      </c>
      <c r="I577" s="31">
        <f>IF($C577="",0,IF(IFERROR(VLOOKUP($C577,Setup!$A$2:$B$60,2,FALSE),"N")="Y",N($D577),0))</f>
      </c>
      <c r="J577" s="30">
        <f>IF($H577&gt;0,$I577/$H577,"")</f>
      </c>
    </row>
    <row r="578" spans="1:10" x14ac:dyDescent="0.25">
      <c r="A578" s="33">
        <v>46322</v>
      </c>
      <c r="B578" s="34" t="s">
        <v>29</v>
      </c>
      <c r="C578" s="35"/>
      <c r="D578" s="36"/>
      <c r="E578" s="36"/>
      <c r="F578" s="37">
        <f>IF($C578="","",IF($E578="",30,$E578)/60)</f>
      </c>
      <c r="G578" s="37">
        <f>IF($C578="","",(30-IF($E578="",30,$E578))/60)</f>
      </c>
      <c r="H578" s="37">
        <f>IF($C578="",0,IF(IFERROR(VLOOKUP($C578,Setup!$A$2:$B$60,2,FALSE),"N")="Y",$F578,0))</f>
      </c>
      <c r="I578" s="38">
        <f>IF($C578="",0,IF(IFERROR(VLOOKUP($C578,Setup!$A$2:$B$60,2,FALSE),"N")="Y",N($D578),0))</f>
      </c>
      <c r="J578" s="37">
        <f>IF($H578&gt;0,$I578/$H578,"")</f>
      </c>
    </row>
    <row r="579" spans="1:10" x14ac:dyDescent="0.25">
      <c r="A579" s="26">
        <v>46322</v>
      </c>
      <c r="B579" s="27" t="s">
        <v>30</v>
      </c>
      <c r="C579" s="28"/>
      <c r="D579" s="29"/>
      <c r="E579" s="29"/>
      <c r="F579" s="30">
        <f>IF($C579="","",IF($E579="",30,$E579)/60)</f>
      </c>
      <c r="G579" s="30">
        <f>IF($C579="","",(30-IF($E579="",30,$E579))/60)</f>
      </c>
      <c r="H579" s="30">
        <f>IF($C579="",0,IF(IFERROR(VLOOKUP($C579,Setup!$A$2:$B$60,2,FALSE),"N")="Y",$F579,0))</f>
      </c>
      <c r="I579" s="31">
        <f>IF($C579="",0,IF(IFERROR(VLOOKUP($C579,Setup!$A$2:$B$60,2,FALSE),"N")="Y",N($D579),0))</f>
      </c>
      <c r="J579" s="30">
        <f>IF($H579&gt;0,$I579/$H579,"")</f>
      </c>
    </row>
    <row r="580" spans="1:10" x14ac:dyDescent="0.25">
      <c r="A580" s="33">
        <v>46322</v>
      </c>
      <c r="B580" s="34" t="s">
        <v>31</v>
      </c>
      <c r="C580" s="35"/>
      <c r="D580" s="36"/>
      <c r="E580" s="36"/>
      <c r="F580" s="37">
        <f>IF($C580="","",IF($E580="",30,$E580)/60)</f>
      </c>
      <c r="G580" s="37">
        <f>IF($C580="","",(30-IF($E580="",30,$E580))/60)</f>
      </c>
      <c r="H580" s="37">
        <f>IF($C580="",0,IF(IFERROR(VLOOKUP($C580,Setup!$A$2:$B$60,2,FALSE),"N")="Y",$F580,0))</f>
      </c>
      <c r="I580" s="38">
        <f>IF($C580="",0,IF(IFERROR(VLOOKUP($C580,Setup!$A$2:$B$60,2,FALSE),"N")="Y",N($D580),0))</f>
      </c>
      <c r="J580" s="37">
        <f>IF($H580&gt;0,$I580/$H580,"")</f>
      </c>
    </row>
    <row r="581" spans="1:10" x14ac:dyDescent="0.25">
      <c r="A581" s="26">
        <v>46322</v>
      </c>
      <c r="B581" s="27" t="s">
        <v>32</v>
      </c>
      <c r="C581" s="28"/>
      <c r="D581" s="29"/>
      <c r="E581" s="29"/>
      <c r="F581" s="30">
        <f>IF($C581="","",IF($E581="",30,$E581)/60)</f>
      </c>
      <c r="G581" s="30">
        <f>IF($C581="","",(30-IF($E581="",30,$E581))/60)</f>
      </c>
      <c r="H581" s="30">
        <f>IF($C581="",0,IF(IFERROR(VLOOKUP($C581,Setup!$A$2:$B$60,2,FALSE),"N")="Y",$F581,0))</f>
      </c>
      <c r="I581" s="31">
        <f>IF($C581="",0,IF(IFERROR(VLOOKUP($C581,Setup!$A$2:$B$60,2,FALSE),"N")="Y",N($D581),0))</f>
      </c>
      <c r="J581" s="30">
        <f>IF($H581&gt;0,$I581/$H581,"")</f>
      </c>
    </row>
    <row r="582" spans="1:10" x14ac:dyDescent="0.25">
      <c r="A582" s="33">
        <v>46322</v>
      </c>
      <c r="B582" s="34" t="s">
        <v>33</v>
      </c>
      <c r="C582" s="35"/>
      <c r="D582" s="36"/>
      <c r="E582" s="36"/>
      <c r="F582" s="37">
        <f>IF($C582="","",IF($E582="",30,$E582)/60)</f>
      </c>
      <c r="G582" s="37">
        <f>IF($C582="","",(30-IF($E582="",30,$E582))/60)</f>
      </c>
      <c r="H582" s="37">
        <f>IF($C582="",0,IF(IFERROR(VLOOKUP($C582,Setup!$A$2:$B$60,2,FALSE),"N")="Y",$F582,0))</f>
      </c>
      <c r="I582" s="38">
        <f>IF($C582="",0,IF(IFERROR(VLOOKUP($C582,Setup!$A$2:$B$60,2,FALSE),"N")="Y",N($D582),0))</f>
      </c>
      <c r="J582" s="37">
        <f>IF($H582&gt;0,$I582/$H582,"")</f>
      </c>
    </row>
    <row r="583" spans="1:10" x14ac:dyDescent="0.25">
      <c r="A583" s="26">
        <v>46322</v>
      </c>
      <c r="B583" s="27" t="s">
        <v>34</v>
      </c>
      <c r="C583" s="28"/>
      <c r="D583" s="29"/>
      <c r="E583" s="29"/>
      <c r="F583" s="30">
        <f>IF($C583="","",IF($E583="",30,$E583)/60)</f>
      </c>
      <c r="G583" s="30">
        <f>IF($C583="","",(30-IF($E583="",30,$E583))/60)</f>
      </c>
      <c r="H583" s="30">
        <f>IF($C583="",0,IF(IFERROR(VLOOKUP($C583,Setup!$A$2:$B$60,2,FALSE),"N")="Y",$F583,0))</f>
      </c>
      <c r="I583" s="31">
        <f>IF($C583="",0,IF(IFERROR(VLOOKUP($C583,Setup!$A$2:$B$60,2,FALSE),"N")="Y",N($D583),0))</f>
      </c>
      <c r="J583" s="30">
        <f>IF($H583&gt;0,$I583/$H583,"")</f>
      </c>
    </row>
    <row r="584" spans="1:10" x14ac:dyDescent="0.25">
      <c r="A584" s="33">
        <v>46322</v>
      </c>
      <c r="B584" s="34" t="s">
        <v>35</v>
      </c>
      <c r="C584" s="35"/>
      <c r="D584" s="36"/>
      <c r="E584" s="36"/>
      <c r="F584" s="37">
        <f>IF($C584="","",IF($E584="",30,$E584)/60)</f>
      </c>
      <c r="G584" s="37">
        <f>IF($C584="","",(30-IF($E584="",30,$E584))/60)</f>
      </c>
      <c r="H584" s="37">
        <f>IF($C584="",0,IF(IFERROR(VLOOKUP($C584,Setup!$A$2:$B$60,2,FALSE),"N")="Y",$F584,0))</f>
      </c>
      <c r="I584" s="38">
        <f>IF($C584="",0,IF(IFERROR(VLOOKUP($C584,Setup!$A$2:$B$60,2,FALSE),"N")="Y",N($D584),0))</f>
      </c>
      <c r="J584" s="37">
        <f>IF($H584&gt;0,$I584/$H584,"")</f>
      </c>
    </row>
    <row r="585" spans="1:10" x14ac:dyDescent="0.25">
      <c r="A585" s="26">
        <v>46322</v>
      </c>
      <c r="B585" s="27" t="s">
        <v>36</v>
      </c>
      <c r="C585" s="28"/>
      <c r="D585" s="29"/>
      <c r="E585" s="29"/>
      <c r="F585" s="30">
        <f>IF($C585="","",IF($E585="",30,$E585)/60)</f>
      </c>
      <c r="G585" s="30">
        <f>IF($C585="","",(30-IF($E585="",30,$E585))/60)</f>
      </c>
      <c r="H585" s="30">
        <f>IF($C585="",0,IF(IFERROR(VLOOKUP($C585,Setup!$A$2:$B$60,2,FALSE),"N")="Y",$F585,0))</f>
      </c>
      <c r="I585" s="31">
        <f>IF($C585="",0,IF(IFERROR(VLOOKUP($C585,Setup!$A$2:$B$60,2,FALSE),"N")="Y",N($D585),0))</f>
      </c>
      <c r="J585" s="30">
        <f>IF($H585&gt;0,$I585/$H585,"")</f>
      </c>
    </row>
    <row r="586" spans="1:10" x14ac:dyDescent="0.25">
      <c r="A586" s="33">
        <v>46322</v>
      </c>
      <c r="B586" s="34" t="s">
        <v>37</v>
      </c>
      <c r="C586" s="35"/>
      <c r="D586" s="36"/>
      <c r="E586" s="36"/>
      <c r="F586" s="37">
        <f>IF($C586="","",IF($E586="",30,$E586)/60)</f>
      </c>
      <c r="G586" s="37">
        <f>IF($C586="","",(30-IF($E586="",30,$E586))/60)</f>
      </c>
      <c r="H586" s="37">
        <f>IF($C586="",0,IF(IFERROR(VLOOKUP($C586,Setup!$A$2:$B$60,2,FALSE),"N")="Y",$F586,0))</f>
      </c>
      <c r="I586" s="38">
        <f>IF($C586="",0,IF(IFERROR(VLOOKUP($C586,Setup!$A$2:$B$60,2,FALSE),"N")="Y",N($D586),0))</f>
      </c>
      <c r="J586" s="37">
        <f>IF($H586&gt;0,$I586/$H586,"")</f>
      </c>
    </row>
    <row r="587" spans="1:10" x14ac:dyDescent="0.25">
      <c r="A587" s="26">
        <v>46322</v>
      </c>
      <c r="B587" s="27" t="s">
        <v>38</v>
      </c>
      <c r="C587" s="28"/>
      <c r="D587" s="29"/>
      <c r="E587" s="29"/>
      <c r="F587" s="30">
        <f>IF($C587="","",IF($E587="",30,$E587)/60)</f>
      </c>
      <c r="G587" s="30">
        <f>IF($C587="","",(30-IF($E587="",30,$E587))/60)</f>
      </c>
      <c r="H587" s="30">
        <f>IF($C587="",0,IF(IFERROR(VLOOKUP($C587,Setup!$A$2:$B$60,2,FALSE),"N")="Y",$F587,0))</f>
      </c>
      <c r="I587" s="31">
        <f>IF($C587="",0,IF(IFERROR(VLOOKUP($C587,Setup!$A$2:$B$60,2,FALSE),"N")="Y",N($D587),0))</f>
      </c>
      <c r="J587" s="30">
        <f>IF($H587&gt;0,$I587/$H587,"")</f>
      </c>
    </row>
    <row r="588" spans="1:10" x14ac:dyDescent="0.25">
      <c r="A588" s="33">
        <v>46322</v>
      </c>
      <c r="B588" s="34" t="s">
        <v>39</v>
      </c>
      <c r="C588" s="35"/>
      <c r="D588" s="36"/>
      <c r="E588" s="36"/>
      <c r="F588" s="37">
        <f>IF($C588="","",IF($E588="",30,$E588)/60)</f>
      </c>
      <c r="G588" s="37">
        <f>IF($C588="","",(30-IF($E588="",30,$E588))/60)</f>
      </c>
      <c r="H588" s="37">
        <f>IF($C588="",0,IF(IFERROR(VLOOKUP($C588,Setup!$A$2:$B$60,2,FALSE),"N")="Y",$F588,0))</f>
      </c>
      <c r="I588" s="38">
        <f>IF($C588="",0,IF(IFERROR(VLOOKUP($C588,Setup!$A$2:$B$60,2,FALSE),"N")="Y",N($D588),0))</f>
      </c>
      <c r="J588" s="37">
        <f>IF($H588&gt;0,$I588/$H588,"")</f>
      </c>
    </row>
    <row r="589" spans="1:10" x14ac:dyDescent="0.25">
      <c r="A589" s="26">
        <v>46322</v>
      </c>
      <c r="B589" s="27" t="s">
        <v>40</v>
      </c>
      <c r="C589" s="28"/>
      <c r="D589" s="29"/>
      <c r="E589" s="29"/>
      <c r="F589" s="30">
        <f>IF($C589="","",IF($E589="",30,$E589)/60)</f>
      </c>
      <c r="G589" s="30">
        <f>IF($C589="","",(30-IF($E589="",30,$E589))/60)</f>
      </c>
      <c r="H589" s="30">
        <f>IF($C589="",0,IF(IFERROR(VLOOKUP($C589,Setup!$A$2:$B$60,2,FALSE),"N")="Y",$F589,0))</f>
      </c>
      <c r="I589" s="31">
        <f>IF($C589="",0,IF(IFERROR(VLOOKUP($C589,Setup!$A$2:$B$60,2,FALSE),"N")="Y",N($D589),0))</f>
      </c>
      <c r="J589" s="30">
        <f>IF($H589&gt;0,$I589/$H589,"")</f>
      </c>
    </row>
    <row r="590" spans="1:10" x14ac:dyDescent="0.25">
      <c r="A590" s="33">
        <v>46322</v>
      </c>
      <c r="B590" s="34" t="s">
        <v>41</v>
      </c>
      <c r="C590" s="35"/>
      <c r="D590" s="36"/>
      <c r="E590" s="36"/>
      <c r="F590" s="37">
        <f>IF($C590="","",IF($E590="",30,$E590)/60)</f>
      </c>
      <c r="G590" s="37">
        <f>IF($C590="","",(30-IF($E590="",30,$E590))/60)</f>
      </c>
      <c r="H590" s="37">
        <f>IF($C590="",0,IF(IFERROR(VLOOKUP($C590,Setup!$A$2:$B$60,2,FALSE),"N")="Y",$F590,0))</f>
      </c>
      <c r="I590" s="38">
        <f>IF($C590="",0,IF(IFERROR(VLOOKUP($C590,Setup!$A$2:$B$60,2,FALSE),"N")="Y",N($D590),0))</f>
      </c>
      <c r="J590" s="37">
        <f>IF($H590&gt;0,$I590/$H590,"")</f>
      </c>
    </row>
    <row r="591" spans="1:10" x14ac:dyDescent="0.25">
      <c r="A591" s="26">
        <v>46322</v>
      </c>
      <c r="B591" s="27" t="s">
        <v>42</v>
      </c>
      <c r="C591" s="28"/>
      <c r="D591" s="29"/>
      <c r="E591" s="29"/>
      <c r="F591" s="30">
        <f>IF($C591="","",IF($E591="",30,$E591)/60)</f>
      </c>
      <c r="G591" s="30">
        <f>IF($C591="","",(30-IF($E591="",30,$E591))/60)</f>
      </c>
      <c r="H591" s="30">
        <f>IF($C591="",0,IF(IFERROR(VLOOKUP($C591,Setup!$A$2:$B$60,2,FALSE),"N")="Y",$F591,0))</f>
      </c>
      <c r="I591" s="31">
        <f>IF($C591="",0,IF(IFERROR(VLOOKUP($C591,Setup!$A$2:$B$60,2,FALSE),"N")="Y",N($D591),0))</f>
      </c>
      <c r="J591" s="30">
        <f>IF($H591&gt;0,$I591/$H591,"")</f>
      </c>
    </row>
    <row r="592" spans="1:10" x14ac:dyDescent="0.25">
      <c r="A592" s="33">
        <v>46322</v>
      </c>
      <c r="B592" s="34" t="s">
        <v>43</v>
      </c>
      <c r="C592" s="35"/>
      <c r="D592" s="36"/>
      <c r="E592" s="36"/>
      <c r="F592" s="37">
        <f>IF($C592="","",IF($E592="",30,$E592)/60)</f>
      </c>
      <c r="G592" s="37">
        <f>IF($C592="","",(30-IF($E592="",30,$E592))/60)</f>
      </c>
      <c r="H592" s="37">
        <f>IF($C592="",0,IF(IFERROR(VLOOKUP($C592,Setup!$A$2:$B$60,2,FALSE),"N")="Y",$F592,0))</f>
      </c>
      <c r="I592" s="38">
        <f>IF($C592="",0,IF(IFERROR(VLOOKUP($C592,Setup!$A$2:$B$60,2,FALSE),"N")="Y",N($D592),0))</f>
      </c>
      <c r="J592" s="37">
        <f>IF($H592&gt;0,$I592/$H592,"")</f>
      </c>
    </row>
    <row r="593" spans="2:10" x14ac:dyDescent="0.25">
      <c r="B593" s="39" t="s">
        <v>44</v>
      </c>
      <c r="C593" s="40"/>
      <c r="D593" s="41">
        <f>SUM(I575:I592)</f>
      </c>
      <c r="E593" s="40"/>
      <c r="F593" s="42">
        <f>SUM(F575:F592)</f>
      </c>
      <c r="G593" s="42">
        <f>SUM(G575:G592)</f>
      </c>
      <c r="H593" s="42">
        <f>SUM(H575:H592)</f>
      </c>
      <c r="I593" s="40"/>
      <c r="J593" s="42">
        <f>IF(H593&gt;0,D593/H593,"")</f>
      </c>
    </row>
    <row r="595" ht="26" customHeight="1" spans="2:10" x14ac:dyDescent="0.25">
      <c r="B595" s="21">
        <v>46323</v>
      </c>
      <c r="C595" s="21"/>
      <c r="D595" s="21"/>
      <c r="E595" s="22" t="s">
        <v>21</v>
      </c>
      <c r="F595" s="22"/>
      <c r="G595" s="22"/>
      <c r="H595" s="22"/>
      <c r="I595" s="22"/>
      <c r="J595" s="22"/>
    </row>
    <row r="596" ht="18" customHeight="1" spans="2:10" x14ac:dyDescent="0.25">
      <c r="B596" s="23" t="s">
        <v>22</v>
      </c>
      <c r="C596" s="23" t="s">
        <v>19</v>
      </c>
      <c r="D596" s="24" t="s">
        <v>4</v>
      </c>
      <c r="E596" s="24" t="s">
        <v>23</v>
      </c>
      <c r="F596" s="25" t="s">
        <v>13</v>
      </c>
      <c r="G596" s="25" t="s">
        <v>24</v>
      </c>
      <c r="H596" s="25" t="s">
        <v>25</v>
      </c>
      <c r="I596" s="25" t="s">
        <v>4</v>
      </c>
      <c r="J596" s="25" t="s">
        <v>14</v>
      </c>
    </row>
    <row r="597" spans="1:11" x14ac:dyDescent="0.25">
      <c r="A597" s="26">
        <v>46323</v>
      </c>
      <c r="B597" s="27" t="s">
        <v>26</v>
      </c>
      <c r="C597" s="28" t="s">
        <v>45</v>
      </c>
      <c r="D597" s="29">
        <v>200</v>
      </c>
      <c r="E597" s="29">
        <v>30</v>
      </c>
      <c r="F597" s="30">
        <f>IF($C597="","",IF($E597="",30,$E597)/60)</f>
      </c>
      <c r="G597" s="30">
        <f>IF($C597="","",(30-IF($E597="",30,$E597))/60)</f>
      </c>
      <c r="H597" s="30">
        <f>IF($C597="",0,IF(IFERROR(VLOOKUP($C597,Setup!$A$2:$B$60,2,FALSE),"N")="Y",$F597,0))</f>
      </c>
      <c r="I597" s="31">
        <f>IF($C597="",0,IF(IFERROR(VLOOKUP($C597,Setup!$A$2:$B$60,2,FALSE),"N")="Y",N($D597),0))</f>
      </c>
      <c r="J597" s="30">
        <f>IF($H597&gt;0,$I597/$H597,"")</f>
      </c>
      <c r="K597" s="32">
        <f>IF($F615&gt;0,9,0)</f>
      </c>
    </row>
    <row r="598" spans="1:10" x14ac:dyDescent="0.25">
      <c r="A598" s="33">
        <v>46323</v>
      </c>
      <c r="B598" s="34" t="s">
        <v>27</v>
      </c>
      <c r="C598" s="35"/>
      <c r="D598" s="36"/>
      <c r="E598" s="36"/>
      <c r="F598" s="37">
        <f>IF($C598="","",IF($E598="",30,$E598)/60)</f>
      </c>
      <c r="G598" s="37">
        <f>IF($C598="","",(30-IF($E598="",30,$E598))/60)</f>
      </c>
      <c r="H598" s="37">
        <f>IF($C598="",0,IF(IFERROR(VLOOKUP($C598,Setup!$A$2:$B$60,2,FALSE),"N")="Y",$F598,0))</f>
      </c>
      <c r="I598" s="38">
        <f>IF($C598="",0,IF(IFERROR(VLOOKUP($C598,Setup!$A$2:$B$60,2,FALSE),"N")="Y",N($D598),0))</f>
      </c>
      <c r="J598" s="37">
        <f>IF($H598&gt;0,$I598/$H598,"")</f>
      </c>
    </row>
    <row r="599" spans="1:10" x14ac:dyDescent="0.25">
      <c r="A599" s="26">
        <v>46323</v>
      </c>
      <c r="B599" s="27" t="s">
        <v>28</v>
      </c>
      <c r="C599" s="28"/>
      <c r="D599" s="29"/>
      <c r="E599" s="29"/>
      <c r="F599" s="30">
        <f>IF($C599="","",IF($E599="",30,$E599)/60)</f>
      </c>
      <c r="G599" s="30">
        <f>IF($C599="","",(30-IF($E599="",30,$E599))/60)</f>
      </c>
      <c r="H599" s="30">
        <f>IF($C599="",0,IF(IFERROR(VLOOKUP($C599,Setup!$A$2:$B$60,2,FALSE),"N")="Y",$F599,0))</f>
      </c>
      <c r="I599" s="31">
        <f>IF($C599="",0,IF(IFERROR(VLOOKUP($C599,Setup!$A$2:$B$60,2,FALSE),"N")="Y",N($D599),0))</f>
      </c>
      <c r="J599" s="30">
        <f>IF($H599&gt;0,$I599/$H599,"")</f>
      </c>
    </row>
    <row r="600" spans="1:10" x14ac:dyDescent="0.25">
      <c r="A600" s="33">
        <v>46323</v>
      </c>
      <c r="B600" s="34" t="s">
        <v>29</v>
      </c>
      <c r="C600" s="35"/>
      <c r="D600" s="36"/>
      <c r="E600" s="36"/>
      <c r="F600" s="37">
        <f>IF($C600="","",IF($E600="",30,$E600)/60)</f>
      </c>
      <c r="G600" s="37">
        <f>IF($C600="","",(30-IF($E600="",30,$E600))/60)</f>
      </c>
      <c r="H600" s="37">
        <f>IF($C600="",0,IF(IFERROR(VLOOKUP($C600,Setup!$A$2:$B$60,2,FALSE),"N")="Y",$F600,0))</f>
      </c>
      <c r="I600" s="38">
        <f>IF($C600="",0,IF(IFERROR(VLOOKUP($C600,Setup!$A$2:$B$60,2,FALSE),"N")="Y",N($D600),0))</f>
      </c>
      <c r="J600" s="37">
        <f>IF($H600&gt;0,$I600/$H600,"")</f>
      </c>
    </row>
    <row r="601" spans="1:10" x14ac:dyDescent="0.25">
      <c r="A601" s="26">
        <v>46323</v>
      </c>
      <c r="B601" s="27" t="s">
        <v>30</v>
      </c>
      <c r="C601" s="28" t="s">
        <v>46</v>
      </c>
      <c r="D601" s="29">
        <v>500</v>
      </c>
      <c r="E601" s="29">
        <v>15</v>
      </c>
      <c r="F601" s="30">
        <f>IF($C601="","",IF($E601="",30,$E601)/60)</f>
      </c>
      <c r="G601" s="30">
        <f>IF($C601="","",(30-IF($E601="",30,$E601))/60)</f>
      </c>
      <c r="H601" s="30">
        <f>IF($C601="",0,IF(IFERROR(VLOOKUP($C601,Setup!$A$2:$B$60,2,FALSE),"N")="Y",$F601,0))</f>
      </c>
      <c r="I601" s="31">
        <f>IF($C601="",0,IF(IFERROR(VLOOKUP($C601,Setup!$A$2:$B$60,2,FALSE),"N")="Y",N($D601),0))</f>
      </c>
      <c r="J601" s="30">
        <f>IF($H601&gt;0,$I601/$H601,"")</f>
      </c>
    </row>
    <row r="602" spans="1:10" x14ac:dyDescent="0.25">
      <c r="A602" s="33">
        <v>46323</v>
      </c>
      <c r="B602" s="34" t="s">
        <v>31</v>
      </c>
      <c r="C602" s="35"/>
      <c r="D602" s="36"/>
      <c r="E602" s="36"/>
      <c r="F602" s="37">
        <f>IF($C602="","",IF($E602="",30,$E602)/60)</f>
      </c>
      <c r="G602" s="37">
        <f>IF($C602="","",(30-IF($E602="",30,$E602))/60)</f>
      </c>
      <c r="H602" s="37">
        <f>IF($C602="",0,IF(IFERROR(VLOOKUP($C602,Setup!$A$2:$B$60,2,FALSE),"N")="Y",$F602,0))</f>
      </c>
      <c r="I602" s="38">
        <f>IF($C602="",0,IF(IFERROR(VLOOKUP($C602,Setup!$A$2:$B$60,2,FALSE),"N")="Y",N($D602),0))</f>
      </c>
      <c r="J602" s="37">
        <f>IF($H602&gt;0,$I602/$H602,"")</f>
      </c>
    </row>
    <row r="603" spans="1:10" x14ac:dyDescent="0.25">
      <c r="A603" s="26">
        <v>46323</v>
      </c>
      <c r="B603" s="27" t="s">
        <v>32</v>
      </c>
      <c r="C603" s="28"/>
      <c r="D603" s="29"/>
      <c r="E603" s="29"/>
      <c r="F603" s="30">
        <f>IF($C603="","",IF($E603="",30,$E603)/60)</f>
      </c>
      <c r="G603" s="30">
        <f>IF($C603="","",(30-IF($E603="",30,$E603))/60)</f>
      </c>
      <c r="H603" s="30">
        <f>IF($C603="",0,IF(IFERROR(VLOOKUP($C603,Setup!$A$2:$B$60,2,FALSE),"N")="Y",$F603,0))</f>
      </c>
      <c r="I603" s="31">
        <f>IF($C603="",0,IF(IFERROR(VLOOKUP($C603,Setup!$A$2:$B$60,2,FALSE),"N")="Y",N($D603),0))</f>
      </c>
      <c r="J603" s="30">
        <f>IF($H603&gt;0,$I603/$H603,"")</f>
      </c>
    </row>
    <row r="604" spans="1:10" x14ac:dyDescent="0.25">
      <c r="A604" s="33">
        <v>46323</v>
      </c>
      <c r="B604" s="34" t="s">
        <v>33</v>
      </c>
      <c r="C604" s="35"/>
      <c r="D604" s="36"/>
      <c r="E604" s="36"/>
      <c r="F604" s="37">
        <f>IF($C604="","",IF($E604="",30,$E604)/60)</f>
      </c>
      <c r="G604" s="37">
        <f>IF($C604="","",(30-IF($E604="",30,$E604))/60)</f>
      </c>
      <c r="H604" s="37">
        <f>IF($C604="",0,IF(IFERROR(VLOOKUP($C604,Setup!$A$2:$B$60,2,FALSE),"N")="Y",$F604,0))</f>
      </c>
      <c r="I604" s="38">
        <f>IF($C604="",0,IF(IFERROR(VLOOKUP($C604,Setup!$A$2:$B$60,2,FALSE),"N")="Y",N($D604),0))</f>
      </c>
      <c r="J604" s="37">
        <f>IF($H604&gt;0,$I604/$H604,"")</f>
      </c>
    </row>
    <row r="605" spans="1:10" x14ac:dyDescent="0.25">
      <c r="A605" s="26">
        <v>46323</v>
      </c>
      <c r="B605" s="27" t="s">
        <v>34</v>
      </c>
      <c r="C605" s="28"/>
      <c r="D605" s="29"/>
      <c r="E605" s="29"/>
      <c r="F605" s="30">
        <f>IF($C605="","",IF($E605="",30,$E605)/60)</f>
      </c>
      <c r="G605" s="30">
        <f>IF($C605="","",(30-IF($E605="",30,$E605))/60)</f>
      </c>
      <c r="H605" s="30">
        <f>IF($C605="",0,IF(IFERROR(VLOOKUP($C605,Setup!$A$2:$B$60,2,FALSE),"N")="Y",$F605,0))</f>
      </c>
      <c r="I605" s="31">
        <f>IF($C605="",0,IF(IFERROR(VLOOKUP($C605,Setup!$A$2:$B$60,2,FALSE),"N")="Y",N($D605),0))</f>
      </c>
      <c r="J605" s="30">
        <f>IF($H605&gt;0,$I605/$H605,"")</f>
      </c>
    </row>
    <row r="606" spans="1:10" x14ac:dyDescent="0.25">
      <c r="A606" s="33">
        <v>46323</v>
      </c>
      <c r="B606" s="34" t="s">
        <v>35</v>
      </c>
      <c r="C606" s="35"/>
      <c r="D606" s="36"/>
      <c r="E606" s="36"/>
      <c r="F606" s="37">
        <f>IF($C606="","",IF($E606="",30,$E606)/60)</f>
      </c>
      <c r="G606" s="37">
        <f>IF($C606="","",(30-IF($E606="",30,$E606))/60)</f>
      </c>
      <c r="H606" s="37">
        <f>IF($C606="",0,IF(IFERROR(VLOOKUP($C606,Setup!$A$2:$B$60,2,FALSE),"N")="Y",$F606,0))</f>
      </c>
      <c r="I606" s="38">
        <f>IF($C606="",0,IF(IFERROR(VLOOKUP($C606,Setup!$A$2:$B$60,2,FALSE),"N")="Y",N($D606),0))</f>
      </c>
      <c r="J606" s="37">
        <f>IF($H606&gt;0,$I606/$H606,"")</f>
      </c>
    </row>
    <row r="607" spans="1:10" x14ac:dyDescent="0.25">
      <c r="A607" s="26">
        <v>46323</v>
      </c>
      <c r="B607" s="27" t="s">
        <v>36</v>
      </c>
      <c r="C607" s="28"/>
      <c r="D607" s="29"/>
      <c r="E607" s="29"/>
      <c r="F607" s="30">
        <f>IF($C607="","",IF($E607="",30,$E607)/60)</f>
      </c>
      <c r="G607" s="30">
        <f>IF($C607="","",(30-IF($E607="",30,$E607))/60)</f>
      </c>
      <c r="H607" s="30">
        <f>IF($C607="",0,IF(IFERROR(VLOOKUP($C607,Setup!$A$2:$B$60,2,FALSE),"N")="Y",$F607,0))</f>
      </c>
      <c r="I607" s="31">
        <f>IF($C607="",0,IF(IFERROR(VLOOKUP($C607,Setup!$A$2:$B$60,2,FALSE),"N")="Y",N($D607),0))</f>
      </c>
      <c r="J607" s="30">
        <f>IF($H607&gt;0,$I607/$H607,"")</f>
      </c>
    </row>
    <row r="608" spans="1:10" x14ac:dyDescent="0.25">
      <c r="A608" s="33">
        <v>46323</v>
      </c>
      <c r="B608" s="34" t="s">
        <v>37</v>
      </c>
      <c r="C608" s="35"/>
      <c r="D608" s="36"/>
      <c r="E608" s="36"/>
      <c r="F608" s="37">
        <f>IF($C608="","",IF($E608="",30,$E608)/60)</f>
      </c>
      <c r="G608" s="37">
        <f>IF($C608="","",(30-IF($E608="",30,$E608))/60)</f>
      </c>
      <c r="H608" s="37">
        <f>IF($C608="",0,IF(IFERROR(VLOOKUP($C608,Setup!$A$2:$B$60,2,FALSE),"N")="Y",$F608,0))</f>
      </c>
      <c r="I608" s="38">
        <f>IF($C608="",0,IF(IFERROR(VLOOKUP($C608,Setup!$A$2:$B$60,2,FALSE),"N")="Y",N($D608),0))</f>
      </c>
      <c r="J608" s="37">
        <f>IF($H608&gt;0,$I608/$H608,"")</f>
      </c>
    </row>
    <row r="609" spans="1:10" x14ac:dyDescent="0.25">
      <c r="A609" s="26">
        <v>46323</v>
      </c>
      <c r="B609" s="27" t="s">
        <v>38</v>
      </c>
      <c r="C609" s="28"/>
      <c r="D609" s="29"/>
      <c r="E609" s="29"/>
      <c r="F609" s="30">
        <f>IF($C609="","",IF($E609="",30,$E609)/60)</f>
      </c>
      <c r="G609" s="30">
        <f>IF($C609="","",(30-IF($E609="",30,$E609))/60)</f>
      </c>
      <c r="H609" s="30">
        <f>IF($C609="",0,IF(IFERROR(VLOOKUP($C609,Setup!$A$2:$B$60,2,FALSE),"N")="Y",$F609,0))</f>
      </c>
      <c r="I609" s="31">
        <f>IF($C609="",0,IF(IFERROR(VLOOKUP($C609,Setup!$A$2:$B$60,2,FALSE),"N")="Y",N($D609),0))</f>
      </c>
      <c r="J609" s="30">
        <f>IF($H609&gt;0,$I609/$H609,"")</f>
      </c>
    </row>
    <row r="610" spans="1:10" x14ac:dyDescent="0.25">
      <c r="A610" s="33">
        <v>46323</v>
      </c>
      <c r="B610" s="34" t="s">
        <v>39</v>
      </c>
      <c r="C610" s="35"/>
      <c r="D610" s="36"/>
      <c r="E610" s="36"/>
      <c r="F610" s="37">
        <f>IF($C610="","",IF($E610="",30,$E610)/60)</f>
      </c>
      <c r="G610" s="37">
        <f>IF($C610="","",(30-IF($E610="",30,$E610))/60)</f>
      </c>
      <c r="H610" s="37">
        <f>IF($C610="",0,IF(IFERROR(VLOOKUP($C610,Setup!$A$2:$B$60,2,FALSE),"N")="Y",$F610,0))</f>
      </c>
      <c r="I610" s="38">
        <f>IF($C610="",0,IF(IFERROR(VLOOKUP($C610,Setup!$A$2:$B$60,2,FALSE),"N")="Y",N($D610),0))</f>
      </c>
      <c r="J610" s="37">
        <f>IF($H610&gt;0,$I610/$H610,"")</f>
      </c>
    </row>
    <row r="611" spans="1:10" x14ac:dyDescent="0.25">
      <c r="A611" s="26">
        <v>46323</v>
      </c>
      <c r="B611" s="27" t="s">
        <v>40</v>
      </c>
      <c r="C611" s="28"/>
      <c r="D611" s="29"/>
      <c r="E611" s="29"/>
      <c r="F611" s="30">
        <f>IF($C611="","",IF($E611="",30,$E611)/60)</f>
      </c>
      <c r="G611" s="30">
        <f>IF($C611="","",(30-IF($E611="",30,$E611))/60)</f>
      </c>
      <c r="H611" s="30">
        <f>IF($C611="",0,IF(IFERROR(VLOOKUP($C611,Setup!$A$2:$B$60,2,FALSE),"N")="Y",$F611,0))</f>
      </c>
      <c r="I611" s="31">
        <f>IF($C611="",0,IF(IFERROR(VLOOKUP($C611,Setup!$A$2:$B$60,2,FALSE),"N")="Y",N($D611),0))</f>
      </c>
      <c r="J611" s="30">
        <f>IF($H611&gt;0,$I611/$H611,"")</f>
      </c>
    </row>
    <row r="612" spans="1:10" x14ac:dyDescent="0.25">
      <c r="A612" s="33">
        <v>46323</v>
      </c>
      <c r="B612" s="34" t="s">
        <v>41</v>
      </c>
      <c r="C612" s="35"/>
      <c r="D612" s="36"/>
      <c r="E612" s="36"/>
      <c r="F612" s="37">
        <f>IF($C612="","",IF($E612="",30,$E612)/60)</f>
      </c>
      <c r="G612" s="37">
        <f>IF($C612="","",(30-IF($E612="",30,$E612))/60)</f>
      </c>
      <c r="H612" s="37">
        <f>IF($C612="",0,IF(IFERROR(VLOOKUP($C612,Setup!$A$2:$B$60,2,FALSE),"N")="Y",$F612,0))</f>
      </c>
      <c r="I612" s="38">
        <f>IF($C612="",0,IF(IFERROR(VLOOKUP($C612,Setup!$A$2:$B$60,2,FALSE),"N")="Y",N($D612),0))</f>
      </c>
      <c r="J612" s="37">
        <f>IF($H612&gt;0,$I612/$H612,"")</f>
      </c>
    </row>
    <row r="613" spans="1:10" x14ac:dyDescent="0.25">
      <c r="A613" s="26">
        <v>46323</v>
      </c>
      <c r="B613" s="27" t="s">
        <v>42</v>
      </c>
      <c r="C613" s="28"/>
      <c r="D613" s="29"/>
      <c r="E613" s="29"/>
      <c r="F613" s="30">
        <f>IF($C613="","",IF($E613="",30,$E613)/60)</f>
      </c>
      <c r="G613" s="30">
        <f>IF($C613="","",(30-IF($E613="",30,$E613))/60)</f>
      </c>
      <c r="H613" s="30">
        <f>IF($C613="",0,IF(IFERROR(VLOOKUP($C613,Setup!$A$2:$B$60,2,FALSE),"N")="Y",$F613,0))</f>
      </c>
      <c r="I613" s="31">
        <f>IF($C613="",0,IF(IFERROR(VLOOKUP($C613,Setup!$A$2:$B$60,2,FALSE),"N")="Y",N($D613),0))</f>
      </c>
      <c r="J613" s="30">
        <f>IF($H613&gt;0,$I613/$H613,"")</f>
      </c>
    </row>
    <row r="614" spans="1:10" x14ac:dyDescent="0.25">
      <c r="A614" s="33">
        <v>46323</v>
      </c>
      <c r="B614" s="34" t="s">
        <v>43</v>
      </c>
      <c r="C614" s="35"/>
      <c r="D614" s="36"/>
      <c r="E614" s="36"/>
      <c r="F614" s="37">
        <f>IF($C614="","",IF($E614="",30,$E614)/60)</f>
      </c>
      <c r="G614" s="37">
        <f>IF($C614="","",(30-IF($E614="",30,$E614))/60)</f>
      </c>
      <c r="H614" s="37">
        <f>IF($C614="",0,IF(IFERROR(VLOOKUP($C614,Setup!$A$2:$B$60,2,FALSE),"N")="Y",$F614,0))</f>
      </c>
      <c r="I614" s="38">
        <f>IF($C614="",0,IF(IFERROR(VLOOKUP($C614,Setup!$A$2:$B$60,2,FALSE),"N")="Y",N($D614),0))</f>
      </c>
      <c r="J614" s="37">
        <f>IF($H614&gt;0,$I614/$H614,"")</f>
      </c>
    </row>
    <row r="615" spans="2:10" x14ac:dyDescent="0.25">
      <c r="B615" s="39" t="s">
        <v>44</v>
      </c>
      <c r="C615" s="40"/>
      <c r="D615" s="41">
        <f>SUM(I597:I614)</f>
      </c>
      <c r="E615" s="40"/>
      <c r="F615" s="42">
        <f>SUM(F597:F614)</f>
      </c>
      <c r="G615" s="42">
        <f>SUM(G597:G614)</f>
      </c>
      <c r="H615" s="42">
        <f>SUM(H597:H614)</f>
      </c>
      <c r="I615" s="40"/>
      <c r="J615" s="42">
        <f>IF(H615&gt;0,D615/H615,"")</f>
      </c>
    </row>
    <row r="617" ht="26" customHeight="1" spans="2:10" x14ac:dyDescent="0.25">
      <c r="B617" s="21">
        <v>46324</v>
      </c>
      <c r="C617" s="21"/>
      <c r="D617" s="21"/>
      <c r="E617" s="22" t="s">
        <v>21</v>
      </c>
      <c r="F617" s="22"/>
      <c r="G617" s="22"/>
      <c r="H617" s="22"/>
      <c r="I617" s="22"/>
      <c r="J617" s="22"/>
    </row>
    <row r="618" ht="18" customHeight="1" spans="2:10" x14ac:dyDescent="0.25">
      <c r="B618" s="23" t="s">
        <v>22</v>
      </c>
      <c r="C618" s="23" t="s">
        <v>19</v>
      </c>
      <c r="D618" s="24" t="s">
        <v>4</v>
      </c>
      <c r="E618" s="24" t="s">
        <v>23</v>
      </c>
      <c r="F618" s="25" t="s">
        <v>13</v>
      </c>
      <c r="G618" s="25" t="s">
        <v>24</v>
      </c>
      <c r="H618" s="25" t="s">
        <v>25</v>
      </c>
      <c r="I618" s="25" t="s">
        <v>4</v>
      </c>
      <c r="J618" s="25" t="s">
        <v>14</v>
      </c>
    </row>
    <row r="619" spans="1:11" x14ac:dyDescent="0.25">
      <c r="A619" s="26">
        <v>46324</v>
      </c>
      <c r="B619" s="27" t="s">
        <v>26</v>
      </c>
      <c r="C619" s="28"/>
      <c r="D619" s="29"/>
      <c r="E619" s="29"/>
      <c r="F619" s="30">
        <f>IF($C619="","",IF($E619="",30,$E619)/60)</f>
      </c>
      <c r="G619" s="30">
        <f>IF($C619="","",(30-IF($E619="",30,$E619))/60)</f>
      </c>
      <c r="H619" s="30">
        <f>IF($C619="",0,IF(IFERROR(VLOOKUP($C619,Setup!$A$2:$B$60,2,FALSE),"N")="Y",$F619,0))</f>
      </c>
      <c r="I619" s="31">
        <f>IF($C619="",0,IF(IFERROR(VLOOKUP($C619,Setup!$A$2:$B$60,2,FALSE),"N")="Y",N($D619),0))</f>
      </c>
      <c r="J619" s="30">
        <f>IF($H619&gt;0,$I619/$H619,"")</f>
      </c>
      <c r="K619" s="32">
        <f>IF($F637&gt;0,9,0)</f>
      </c>
    </row>
    <row r="620" spans="1:10" x14ac:dyDescent="0.25">
      <c r="A620" s="33">
        <v>46324</v>
      </c>
      <c r="B620" s="34" t="s">
        <v>27</v>
      </c>
      <c r="C620" s="35"/>
      <c r="D620" s="36"/>
      <c r="E620" s="36"/>
      <c r="F620" s="37">
        <f>IF($C620="","",IF($E620="",30,$E620)/60)</f>
      </c>
      <c r="G620" s="37">
        <f>IF($C620="","",(30-IF($E620="",30,$E620))/60)</f>
      </c>
      <c r="H620" s="37">
        <f>IF($C620="",0,IF(IFERROR(VLOOKUP($C620,Setup!$A$2:$B$60,2,FALSE),"N")="Y",$F620,0))</f>
      </c>
      <c r="I620" s="38">
        <f>IF($C620="",0,IF(IFERROR(VLOOKUP($C620,Setup!$A$2:$B$60,2,FALSE),"N")="Y",N($D620),0))</f>
      </c>
      <c r="J620" s="37">
        <f>IF($H620&gt;0,$I620/$H620,"")</f>
      </c>
    </row>
    <row r="621" spans="1:10" x14ac:dyDescent="0.25">
      <c r="A621" s="26">
        <v>46324</v>
      </c>
      <c r="B621" s="27" t="s">
        <v>28</v>
      </c>
      <c r="C621" s="28"/>
      <c r="D621" s="29"/>
      <c r="E621" s="29"/>
      <c r="F621" s="30">
        <f>IF($C621="","",IF($E621="",30,$E621)/60)</f>
      </c>
      <c r="G621" s="30">
        <f>IF($C621="","",(30-IF($E621="",30,$E621))/60)</f>
      </c>
      <c r="H621" s="30">
        <f>IF($C621="",0,IF(IFERROR(VLOOKUP($C621,Setup!$A$2:$B$60,2,FALSE),"N")="Y",$F621,0))</f>
      </c>
      <c r="I621" s="31">
        <f>IF($C621="",0,IF(IFERROR(VLOOKUP($C621,Setup!$A$2:$B$60,2,FALSE),"N")="Y",N($D621),0))</f>
      </c>
      <c r="J621" s="30">
        <f>IF($H621&gt;0,$I621/$H621,"")</f>
      </c>
    </row>
    <row r="622" spans="1:10" x14ac:dyDescent="0.25">
      <c r="A622" s="33">
        <v>46324</v>
      </c>
      <c r="B622" s="34" t="s">
        <v>29</v>
      </c>
      <c r="C622" s="35"/>
      <c r="D622" s="36"/>
      <c r="E622" s="36"/>
      <c r="F622" s="37">
        <f>IF($C622="","",IF($E622="",30,$E622)/60)</f>
      </c>
      <c r="G622" s="37">
        <f>IF($C622="","",(30-IF($E622="",30,$E622))/60)</f>
      </c>
      <c r="H622" s="37">
        <f>IF($C622="",0,IF(IFERROR(VLOOKUP($C622,Setup!$A$2:$B$60,2,FALSE),"N")="Y",$F622,0))</f>
      </c>
      <c r="I622" s="38">
        <f>IF($C622="",0,IF(IFERROR(VLOOKUP($C622,Setup!$A$2:$B$60,2,FALSE),"N")="Y",N($D622),0))</f>
      </c>
      <c r="J622" s="37">
        <f>IF($H622&gt;0,$I622/$H622,"")</f>
      </c>
    </row>
    <row r="623" spans="1:10" x14ac:dyDescent="0.25">
      <c r="A623" s="26">
        <v>46324</v>
      </c>
      <c r="B623" s="27" t="s">
        <v>30</v>
      </c>
      <c r="C623" s="28"/>
      <c r="D623" s="29"/>
      <c r="E623" s="29"/>
      <c r="F623" s="30">
        <f>IF($C623="","",IF($E623="",30,$E623)/60)</f>
      </c>
      <c r="G623" s="30">
        <f>IF($C623="","",(30-IF($E623="",30,$E623))/60)</f>
      </c>
      <c r="H623" s="30">
        <f>IF($C623="",0,IF(IFERROR(VLOOKUP($C623,Setup!$A$2:$B$60,2,FALSE),"N")="Y",$F623,0))</f>
      </c>
      <c r="I623" s="31">
        <f>IF($C623="",0,IF(IFERROR(VLOOKUP($C623,Setup!$A$2:$B$60,2,FALSE),"N")="Y",N($D623),0))</f>
      </c>
      <c r="J623" s="30">
        <f>IF($H623&gt;0,$I623/$H623,"")</f>
      </c>
    </row>
    <row r="624" spans="1:10" x14ac:dyDescent="0.25">
      <c r="A624" s="33">
        <v>46324</v>
      </c>
      <c r="B624" s="34" t="s">
        <v>31</v>
      </c>
      <c r="C624" s="35"/>
      <c r="D624" s="36"/>
      <c r="E624" s="36"/>
      <c r="F624" s="37">
        <f>IF($C624="","",IF($E624="",30,$E624)/60)</f>
      </c>
      <c r="G624" s="37">
        <f>IF($C624="","",(30-IF($E624="",30,$E624))/60)</f>
      </c>
      <c r="H624" s="37">
        <f>IF($C624="",0,IF(IFERROR(VLOOKUP($C624,Setup!$A$2:$B$60,2,FALSE),"N")="Y",$F624,0))</f>
      </c>
      <c r="I624" s="38">
        <f>IF($C624="",0,IF(IFERROR(VLOOKUP($C624,Setup!$A$2:$B$60,2,FALSE),"N")="Y",N($D624),0))</f>
      </c>
      <c r="J624" s="37">
        <f>IF($H624&gt;0,$I624/$H624,"")</f>
      </c>
    </row>
    <row r="625" spans="1:10" x14ac:dyDescent="0.25">
      <c r="A625" s="26">
        <v>46324</v>
      </c>
      <c r="B625" s="27" t="s">
        <v>32</v>
      </c>
      <c r="C625" s="28"/>
      <c r="D625" s="29"/>
      <c r="E625" s="29"/>
      <c r="F625" s="30">
        <f>IF($C625="","",IF($E625="",30,$E625)/60)</f>
      </c>
      <c r="G625" s="30">
        <f>IF($C625="","",(30-IF($E625="",30,$E625))/60)</f>
      </c>
      <c r="H625" s="30">
        <f>IF($C625="",0,IF(IFERROR(VLOOKUP($C625,Setup!$A$2:$B$60,2,FALSE),"N")="Y",$F625,0))</f>
      </c>
      <c r="I625" s="31">
        <f>IF($C625="",0,IF(IFERROR(VLOOKUP($C625,Setup!$A$2:$B$60,2,FALSE),"N")="Y",N($D625),0))</f>
      </c>
      <c r="J625" s="30">
        <f>IF($H625&gt;0,$I625/$H625,"")</f>
      </c>
    </row>
    <row r="626" spans="1:10" x14ac:dyDescent="0.25">
      <c r="A626" s="33">
        <v>46324</v>
      </c>
      <c r="B626" s="34" t="s">
        <v>33</v>
      </c>
      <c r="C626" s="35"/>
      <c r="D626" s="36"/>
      <c r="E626" s="36"/>
      <c r="F626" s="37">
        <f>IF($C626="","",IF($E626="",30,$E626)/60)</f>
      </c>
      <c r="G626" s="37">
        <f>IF($C626="","",(30-IF($E626="",30,$E626))/60)</f>
      </c>
      <c r="H626" s="37">
        <f>IF($C626="",0,IF(IFERROR(VLOOKUP($C626,Setup!$A$2:$B$60,2,FALSE),"N")="Y",$F626,0))</f>
      </c>
      <c r="I626" s="38">
        <f>IF($C626="",0,IF(IFERROR(VLOOKUP($C626,Setup!$A$2:$B$60,2,FALSE),"N")="Y",N($D626),0))</f>
      </c>
      <c r="J626" s="37">
        <f>IF($H626&gt;0,$I626/$H626,"")</f>
      </c>
    </row>
    <row r="627" spans="1:10" x14ac:dyDescent="0.25">
      <c r="A627" s="26">
        <v>46324</v>
      </c>
      <c r="B627" s="27" t="s">
        <v>34</v>
      </c>
      <c r="C627" s="28"/>
      <c r="D627" s="29"/>
      <c r="E627" s="29"/>
      <c r="F627" s="30">
        <f>IF($C627="","",IF($E627="",30,$E627)/60)</f>
      </c>
      <c r="G627" s="30">
        <f>IF($C627="","",(30-IF($E627="",30,$E627))/60)</f>
      </c>
      <c r="H627" s="30">
        <f>IF($C627="",0,IF(IFERROR(VLOOKUP($C627,Setup!$A$2:$B$60,2,FALSE),"N")="Y",$F627,0))</f>
      </c>
      <c r="I627" s="31">
        <f>IF($C627="",0,IF(IFERROR(VLOOKUP($C627,Setup!$A$2:$B$60,2,FALSE),"N")="Y",N($D627),0))</f>
      </c>
      <c r="J627" s="30">
        <f>IF($H627&gt;0,$I627/$H627,"")</f>
      </c>
    </row>
    <row r="628" spans="1:10" x14ac:dyDescent="0.25">
      <c r="A628" s="33">
        <v>46324</v>
      </c>
      <c r="B628" s="34" t="s">
        <v>35</v>
      </c>
      <c r="C628" s="35"/>
      <c r="D628" s="36"/>
      <c r="E628" s="36"/>
      <c r="F628" s="37">
        <f>IF($C628="","",IF($E628="",30,$E628)/60)</f>
      </c>
      <c r="G628" s="37">
        <f>IF($C628="","",(30-IF($E628="",30,$E628))/60)</f>
      </c>
      <c r="H628" s="37">
        <f>IF($C628="",0,IF(IFERROR(VLOOKUP($C628,Setup!$A$2:$B$60,2,FALSE),"N")="Y",$F628,0))</f>
      </c>
      <c r="I628" s="38">
        <f>IF($C628="",0,IF(IFERROR(VLOOKUP($C628,Setup!$A$2:$B$60,2,FALSE),"N")="Y",N($D628),0))</f>
      </c>
      <c r="J628" s="37">
        <f>IF($H628&gt;0,$I628/$H628,"")</f>
      </c>
    </row>
    <row r="629" spans="1:10" x14ac:dyDescent="0.25">
      <c r="A629" s="26">
        <v>46324</v>
      </c>
      <c r="B629" s="27" t="s">
        <v>36</v>
      </c>
      <c r="C629" s="28"/>
      <c r="D629" s="29"/>
      <c r="E629" s="29"/>
      <c r="F629" s="30">
        <f>IF($C629="","",IF($E629="",30,$E629)/60)</f>
      </c>
      <c r="G629" s="30">
        <f>IF($C629="","",(30-IF($E629="",30,$E629))/60)</f>
      </c>
      <c r="H629" s="30">
        <f>IF($C629="",0,IF(IFERROR(VLOOKUP($C629,Setup!$A$2:$B$60,2,FALSE),"N")="Y",$F629,0))</f>
      </c>
      <c r="I629" s="31">
        <f>IF($C629="",0,IF(IFERROR(VLOOKUP($C629,Setup!$A$2:$B$60,2,FALSE),"N")="Y",N($D629),0))</f>
      </c>
      <c r="J629" s="30">
        <f>IF($H629&gt;0,$I629/$H629,"")</f>
      </c>
    </row>
    <row r="630" spans="1:10" x14ac:dyDescent="0.25">
      <c r="A630" s="33">
        <v>46324</v>
      </c>
      <c r="B630" s="34" t="s">
        <v>37</v>
      </c>
      <c r="C630" s="35"/>
      <c r="D630" s="36"/>
      <c r="E630" s="36"/>
      <c r="F630" s="37">
        <f>IF($C630="","",IF($E630="",30,$E630)/60)</f>
      </c>
      <c r="G630" s="37">
        <f>IF($C630="","",(30-IF($E630="",30,$E630))/60)</f>
      </c>
      <c r="H630" s="37">
        <f>IF($C630="",0,IF(IFERROR(VLOOKUP($C630,Setup!$A$2:$B$60,2,FALSE),"N")="Y",$F630,0))</f>
      </c>
      <c r="I630" s="38">
        <f>IF($C630="",0,IF(IFERROR(VLOOKUP($C630,Setup!$A$2:$B$60,2,FALSE),"N")="Y",N($D630),0))</f>
      </c>
      <c r="J630" s="37">
        <f>IF($H630&gt;0,$I630/$H630,"")</f>
      </c>
    </row>
    <row r="631" spans="1:10" x14ac:dyDescent="0.25">
      <c r="A631" s="26">
        <v>46324</v>
      </c>
      <c r="B631" s="27" t="s">
        <v>38</v>
      </c>
      <c r="C631" s="28"/>
      <c r="D631" s="29"/>
      <c r="E631" s="29"/>
      <c r="F631" s="30">
        <f>IF($C631="","",IF($E631="",30,$E631)/60)</f>
      </c>
      <c r="G631" s="30">
        <f>IF($C631="","",(30-IF($E631="",30,$E631))/60)</f>
      </c>
      <c r="H631" s="30">
        <f>IF($C631="",0,IF(IFERROR(VLOOKUP($C631,Setup!$A$2:$B$60,2,FALSE),"N")="Y",$F631,0))</f>
      </c>
      <c r="I631" s="31">
        <f>IF($C631="",0,IF(IFERROR(VLOOKUP($C631,Setup!$A$2:$B$60,2,FALSE),"N")="Y",N($D631),0))</f>
      </c>
      <c r="J631" s="30">
        <f>IF($H631&gt;0,$I631/$H631,"")</f>
      </c>
    </row>
    <row r="632" spans="1:10" x14ac:dyDescent="0.25">
      <c r="A632" s="33">
        <v>46324</v>
      </c>
      <c r="B632" s="34" t="s">
        <v>39</v>
      </c>
      <c r="C632" s="35"/>
      <c r="D632" s="36"/>
      <c r="E632" s="36"/>
      <c r="F632" s="37">
        <f>IF($C632="","",IF($E632="",30,$E632)/60)</f>
      </c>
      <c r="G632" s="37">
        <f>IF($C632="","",(30-IF($E632="",30,$E632))/60)</f>
      </c>
      <c r="H632" s="37">
        <f>IF($C632="",0,IF(IFERROR(VLOOKUP($C632,Setup!$A$2:$B$60,2,FALSE),"N")="Y",$F632,0))</f>
      </c>
      <c r="I632" s="38">
        <f>IF($C632="",0,IF(IFERROR(VLOOKUP($C632,Setup!$A$2:$B$60,2,FALSE),"N")="Y",N($D632),0))</f>
      </c>
      <c r="J632" s="37">
        <f>IF($H632&gt;0,$I632/$H632,"")</f>
      </c>
    </row>
    <row r="633" spans="1:10" x14ac:dyDescent="0.25">
      <c r="A633" s="26">
        <v>46324</v>
      </c>
      <c r="B633" s="27" t="s">
        <v>40</v>
      </c>
      <c r="C633" s="28"/>
      <c r="D633" s="29"/>
      <c r="E633" s="29"/>
      <c r="F633" s="30">
        <f>IF($C633="","",IF($E633="",30,$E633)/60)</f>
      </c>
      <c r="G633" s="30">
        <f>IF($C633="","",(30-IF($E633="",30,$E633))/60)</f>
      </c>
      <c r="H633" s="30">
        <f>IF($C633="",0,IF(IFERROR(VLOOKUP($C633,Setup!$A$2:$B$60,2,FALSE),"N")="Y",$F633,0))</f>
      </c>
      <c r="I633" s="31">
        <f>IF($C633="",0,IF(IFERROR(VLOOKUP($C633,Setup!$A$2:$B$60,2,FALSE),"N")="Y",N($D633),0))</f>
      </c>
      <c r="J633" s="30">
        <f>IF($H633&gt;0,$I633/$H633,"")</f>
      </c>
    </row>
    <row r="634" spans="1:10" x14ac:dyDescent="0.25">
      <c r="A634" s="33">
        <v>46324</v>
      </c>
      <c r="B634" s="34" t="s">
        <v>41</v>
      </c>
      <c r="C634" s="35"/>
      <c r="D634" s="36"/>
      <c r="E634" s="36"/>
      <c r="F634" s="37">
        <f>IF($C634="","",IF($E634="",30,$E634)/60)</f>
      </c>
      <c r="G634" s="37">
        <f>IF($C634="","",(30-IF($E634="",30,$E634))/60)</f>
      </c>
      <c r="H634" s="37">
        <f>IF($C634="",0,IF(IFERROR(VLOOKUP($C634,Setup!$A$2:$B$60,2,FALSE),"N")="Y",$F634,0))</f>
      </c>
      <c r="I634" s="38">
        <f>IF($C634="",0,IF(IFERROR(VLOOKUP($C634,Setup!$A$2:$B$60,2,FALSE),"N")="Y",N($D634),0))</f>
      </c>
      <c r="J634" s="37">
        <f>IF($H634&gt;0,$I634/$H634,"")</f>
      </c>
    </row>
    <row r="635" spans="1:10" x14ac:dyDescent="0.25">
      <c r="A635" s="26">
        <v>46324</v>
      </c>
      <c r="B635" s="27" t="s">
        <v>42</v>
      </c>
      <c r="C635" s="28"/>
      <c r="D635" s="29"/>
      <c r="E635" s="29"/>
      <c r="F635" s="30">
        <f>IF($C635="","",IF($E635="",30,$E635)/60)</f>
      </c>
      <c r="G635" s="30">
        <f>IF($C635="","",(30-IF($E635="",30,$E635))/60)</f>
      </c>
      <c r="H635" s="30">
        <f>IF($C635="",0,IF(IFERROR(VLOOKUP($C635,Setup!$A$2:$B$60,2,FALSE),"N")="Y",$F635,0))</f>
      </c>
      <c r="I635" s="31">
        <f>IF($C635="",0,IF(IFERROR(VLOOKUP($C635,Setup!$A$2:$B$60,2,FALSE),"N")="Y",N($D635),0))</f>
      </c>
      <c r="J635" s="30">
        <f>IF($H635&gt;0,$I635/$H635,"")</f>
      </c>
    </row>
    <row r="636" spans="1:10" x14ac:dyDescent="0.25">
      <c r="A636" s="33">
        <v>46324</v>
      </c>
      <c r="B636" s="34" t="s">
        <v>43</v>
      </c>
      <c r="C636" s="35"/>
      <c r="D636" s="36"/>
      <c r="E636" s="36"/>
      <c r="F636" s="37">
        <f>IF($C636="","",IF($E636="",30,$E636)/60)</f>
      </c>
      <c r="G636" s="37">
        <f>IF($C636="","",(30-IF($E636="",30,$E636))/60)</f>
      </c>
      <c r="H636" s="37">
        <f>IF($C636="",0,IF(IFERROR(VLOOKUP($C636,Setup!$A$2:$B$60,2,FALSE),"N")="Y",$F636,0))</f>
      </c>
      <c r="I636" s="38">
        <f>IF($C636="",0,IF(IFERROR(VLOOKUP($C636,Setup!$A$2:$B$60,2,FALSE),"N")="Y",N($D636),0))</f>
      </c>
      <c r="J636" s="37">
        <f>IF($H636&gt;0,$I636/$H636,"")</f>
      </c>
    </row>
    <row r="637" spans="2:10" x14ac:dyDescent="0.25">
      <c r="B637" s="39" t="s">
        <v>44</v>
      </c>
      <c r="C637" s="40"/>
      <c r="D637" s="41">
        <f>SUM(I619:I636)</f>
      </c>
      <c r="E637" s="40"/>
      <c r="F637" s="42">
        <f>SUM(F619:F636)</f>
      </c>
      <c r="G637" s="42">
        <f>SUM(G619:G636)</f>
      </c>
      <c r="H637" s="42">
        <f>SUM(H619:H636)</f>
      </c>
      <c r="I637" s="40"/>
      <c r="J637" s="42">
        <f>IF(H637&gt;0,D637/H637,"")</f>
      </c>
    </row>
    <row r="639" ht="26" customHeight="1" spans="2:10" x14ac:dyDescent="0.25">
      <c r="B639" s="21">
        <v>46325</v>
      </c>
      <c r="C639" s="21"/>
      <c r="D639" s="21"/>
      <c r="E639" s="22" t="s">
        <v>21</v>
      </c>
      <c r="F639" s="22"/>
      <c r="G639" s="22"/>
      <c r="H639" s="22"/>
      <c r="I639" s="22"/>
      <c r="J639" s="22"/>
    </row>
    <row r="640" ht="18" customHeight="1" spans="2:10" x14ac:dyDescent="0.25">
      <c r="B640" s="23" t="s">
        <v>22</v>
      </c>
      <c r="C640" s="23" t="s">
        <v>19</v>
      </c>
      <c r="D640" s="24" t="s">
        <v>4</v>
      </c>
      <c r="E640" s="24" t="s">
        <v>23</v>
      </c>
      <c r="F640" s="25" t="s">
        <v>13</v>
      </c>
      <c r="G640" s="25" t="s">
        <v>24</v>
      </c>
      <c r="H640" s="25" t="s">
        <v>25</v>
      </c>
      <c r="I640" s="25" t="s">
        <v>4</v>
      </c>
      <c r="J640" s="25" t="s">
        <v>14</v>
      </c>
    </row>
    <row r="641" spans="1:11" x14ac:dyDescent="0.25">
      <c r="A641" s="26">
        <v>46325</v>
      </c>
      <c r="B641" s="27" t="s">
        <v>26</v>
      </c>
      <c r="C641" s="28"/>
      <c r="D641" s="29"/>
      <c r="E641" s="29"/>
      <c r="F641" s="30">
        <f>IF($C641="","",IF($E641="",30,$E641)/60)</f>
      </c>
      <c r="G641" s="30">
        <f>IF($C641="","",(30-IF($E641="",30,$E641))/60)</f>
      </c>
      <c r="H641" s="30">
        <f>IF($C641="",0,IF(IFERROR(VLOOKUP($C641,Setup!$A$2:$B$60,2,FALSE),"N")="Y",$F641,0))</f>
      </c>
      <c r="I641" s="31">
        <f>IF($C641="",0,IF(IFERROR(VLOOKUP($C641,Setup!$A$2:$B$60,2,FALSE),"N")="Y",N($D641),0))</f>
      </c>
      <c r="J641" s="30">
        <f>IF($H641&gt;0,$I641/$H641,"")</f>
      </c>
      <c r="K641" s="32">
        <f>IF($F659&gt;0,9,0)</f>
      </c>
    </row>
    <row r="642" spans="1:10" x14ac:dyDescent="0.25">
      <c r="A642" s="33">
        <v>46325</v>
      </c>
      <c r="B642" s="34" t="s">
        <v>27</v>
      </c>
      <c r="C642" s="35"/>
      <c r="D642" s="36"/>
      <c r="E642" s="36"/>
      <c r="F642" s="37">
        <f>IF($C642="","",IF($E642="",30,$E642)/60)</f>
      </c>
      <c r="G642" s="37">
        <f>IF($C642="","",(30-IF($E642="",30,$E642))/60)</f>
      </c>
      <c r="H642" s="37">
        <f>IF($C642="",0,IF(IFERROR(VLOOKUP($C642,Setup!$A$2:$B$60,2,FALSE),"N")="Y",$F642,0))</f>
      </c>
      <c r="I642" s="38">
        <f>IF($C642="",0,IF(IFERROR(VLOOKUP($C642,Setup!$A$2:$B$60,2,FALSE),"N")="Y",N($D642),0))</f>
      </c>
      <c r="J642" s="37">
        <f>IF($H642&gt;0,$I642/$H642,"")</f>
      </c>
    </row>
    <row r="643" spans="1:10" x14ac:dyDescent="0.25">
      <c r="A643" s="26">
        <v>46325</v>
      </c>
      <c r="B643" s="27" t="s">
        <v>28</v>
      </c>
      <c r="C643" s="28"/>
      <c r="D643" s="29"/>
      <c r="E643" s="29"/>
      <c r="F643" s="30">
        <f>IF($C643="","",IF($E643="",30,$E643)/60)</f>
      </c>
      <c r="G643" s="30">
        <f>IF($C643="","",(30-IF($E643="",30,$E643))/60)</f>
      </c>
      <c r="H643" s="30">
        <f>IF($C643="",0,IF(IFERROR(VLOOKUP($C643,Setup!$A$2:$B$60,2,FALSE),"N")="Y",$F643,0))</f>
      </c>
      <c r="I643" s="31">
        <f>IF($C643="",0,IF(IFERROR(VLOOKUP($C643,Setup!$A$2:$B$60,2,FALSE),"N")="Y",N($D643),0))</f>
      </c>
      <c r="J643" s="30">
        <f>IF($H643&gt;0,$I643/$H643,"")</f>
      </c>
    </row>
    <row r="644" spans="1:10" x14ac:dyDescent="0.25">
      <c r="A644" s="33">
        <v>46325</v>
      </c>
      <c r="B644" s="34" t="s">
        <v>29</v>
      </c>
      <c r="C644" s="35"/>
      <c r="D644" s="36"/>
      <c r="E644" s="36"/>
      <c r="F644" s="37">
        <f>IF($C644="","",IF($E644="",30,$E644)/60)</f>
      </c>
      <c r="G644" s="37">
        <f>IF($C644="","",(30-IF($E644="",30,$E644))/60)</f>
      </c>
      <c r="H644" s="37">
        <f>IF($C644="",0,IF(IFERROR(VLOOKUP($C644,Setup!$A$2:$B$60,2,FALSE),"N")="Y",$F644,0))</f>
      </c>
      <c r="I644" s="38">
        <f>IF($C644="",0,IF(IFERROR(VLOOKUP($C644,Setup!$A$2:$B$60,2,FALSE),"N")="Y",N($D644),0))</f>
      </c>
      <c r="J644" s="37">
        <f>IF($H644&gt;0,$I644/$H644,"")</f>
      </c>
    </row>
    <row r="645" spans="1:10" x14ac:dyDescent="0.25">
      <c r="A645" s="26">
        <v>46325</v>
      </c>
      <c r="B645" s="27" t="s">
        <v>30</v>
      </c>
      <c r="C645" s="28"/>
      <c r="D645" s="29"/>
      <c r="E645" s="29"/>
      <c r="F645" s="30">
        <f>IF($C645="","",IF($E645="",30,$E645)/60)</f>
      </c>
      <c r="G645" s="30">
        <f>IF($C645="","",(30-IF($E645="",30,$E645))/60)</f>
      </c>
      <c r="H645" s="30">
        <f>IF($C645="",0,IF(IFERROR(VLOOKUP($C645,Setup!$A$2:$B$60,2,FALSE),"N")="Y",$F645,0))</f>
      </c>
      <c r="I645" s="31">
        <f>IF($C645="",0,IF(IFERROR(VLOOKUP($C645,Setup!$A$2:$B$60,2,FALSE),"N")="Y",N($D645),0))</f>
      </c>
      <c r="J645" s="30">
        <f>IF($H645&gt;0,$I645/$H645,"")</f>
      </c>
    </row>
    <row r="646" spans="1:10" x14ac:dyDescent="0.25">
      <c r="A646" s="33">
        <v>46325</v>
      </c>
      <c r="B646" s="34" t="s">
        <v>31</v>
      </c>
      <c r="C646" s="35"/>
      <c r="D646" s="36"/>
      <c r="E646" s="36"/>
      <c r="F646" s="37">
        <f>IF($C646="","",IF($E646="",30,$E646)/60)</f>
      </c>
      <c r="G646" s="37">
        <f>IF($C646="","",(30-IF($E646="",30,$E646))/60)</f>
      </c>
      <c r="H646" s="37">
        <f>IF($C646="",0,IF(IFERROR(VLOOKUP($C646,Setup!$A$2:$B$60,2,FALSE),"N")="Y",$F646,0))</f>
      </c>
      <c r="I646" s="38">
        <f>IF($C646="",0,IF(IFERROR(VLOOKUP($C646,Setup!$A$2:$B$60,2,FALSE),"N")="Y",N($D646),0))</f>
      </c>
      <c r="J646" s="37">
        <f>IF($H646&gt;0,$I646/$H646,"")</f>
      </c>
    </row>
    <row r="647" spans="1:10" x14ac:dyDescent="0.25">
      <c r="A647" s="26">
        <v>46325</v>
      </c>
      <c r="B647" s="27" t="s">
        <v>32</v>
      </c>
      <c r="C647" s="28"/>
      <c r="D647" s="29"/>
      <c r="E647" s="29"/>
      <c r="F647" s="30">
        <f>IF($C647="","",IF($E647="",30,$E647)/60)</f>
      </c>
      <c r="G647" s="30">
        <f>IF($C647="","",(30-IF($E647="",30,$E647))/60)</f>
      </c>
      <c r="H647" s="30">
        <f>IF($C647="",0,IF(IFERROR(VLOOKUP($C647,Setup!$A$2:$B$60,2,FALSE),"N")="Y",$F647,0))</f>
      </c>
      <c r="I647" s="31">
        <f>IF($C647="",0,IF(IFERROR(VLOOKUP($C647,Setup!$A$2:$B$60,2,FALSE),"N")="Y",N($D647),0))</f>
      </c>
      <c r="J647" s="30">
        <f>IF($H647&gt;0,$I647/$H647,"")</f>
      </c>
    </row>
    <row r="648" spans="1:10" x14ac:dyDescent="0.25">
      <c r="A648" s="33">
        <v>46325</v>
      </c>
      <c r="B648" s="34" t="s">
        <v>33</v>
      </c>
      <c r="C648" s="35"/>
      <c r="D648" s="36"/>
      <c r="E648" s="36"/>
      <c r="F648" s="37">
        <f>IF($C648="","",IF($E648="",30,$E648)/60)</f>
      </c>
      <c r="G648" s="37">
        <f>IF($C648="","",(30-IF($E648="",30,$E648))/60)</f>
      </c>
      <c r="H648" s="37">
        <f>IF($C648="",0,IF(IFERROR(VLOOKUP($C648,Setup!$A$2:$B$60,2,FALSE),"N")="Y",$F648,0))</f>
      </c>
      <c r="I648" s="38">
        <f>IF($C648="",0,IF(IFERROR(VLOOKUP($C648,Setup!$A$2:$B$60,2,FALSE),"N")="Y",N($D648),0))</f>
      </c>
      <c r="J648" s="37">
        <f>IF($H648&gt;0,$I648/$H648,"")</f>
      </c>
    </row>
    <row r="649" spans="1:10" x14ac:dyDescent="0.25">
      <c r="A649" s="26">
        <v>46325</v>
      </c>
      <c r="B649" s="27" t="s">
        <v>34</v>
      </c>
      <c r="C649" s="28"/>
      <c r="D649" s="29"/>
      <c r="E649" s="29"/>
      <c r="F649" s="30">
        <f>IF($C649="","",IF($E649="",30,$E649)/60)</f>
      </c>
      <c r="G649" s="30">
        <f>IF($C649="","",(30-IF($E649="",30,$E649))/60)</f>
      </c>
      <c r="H649" s="30">
        <f>IF($C649="",0,IF(IFERROR(VLOOKUP($C649,Setup!$A$2:$B$60,2,FALSE),"N")="Y",$F649,0))</f>
      </c>
      <c r="I649" s="31">
        <f>IF($C649="",0,IF(IFERROR(VLOOKUP($C649,Setup!$A$2:$B$60,2,FALSE),"N")="Y",N($D649),0))</f>
      </c>
      <c r="J649" s="30">
        <f>IF($H649&gt;0,$I649/$H649,"")</f>
      </c>
    </row>
    <row r="650" spans="1:10" x14ac:dyDescent="0.25">
      <c r="A650" s="33">
        <v>46325</v>
      </c>
      <c r="B650" s="34" t="s">
        <v>35</v>
      </c>
      <c r="C650" s="35"/>
      <c r="D650" s="36"/>
      <c r="E650" s="36"/>
      <c r="F650" s="37">
        <f>IF($C650="","",IF($E650="",30,$E650)/60)</f>
      </c>
      <c r="G650" s="37">
        <f>IF($C650="","",(30-IF($E650="",30,$E650))/60)</f>
      </c>
      <c r="H650" s="37">
        <f>IF($C650="",0,IF(IFERROR(VLOOKUP($C650,Setup!$A$2:$B$60,2,FALSE),"N")="Y",$F650,0))</f>
      </c>
      <c r="I650" s="38">
        <f>IF($C650="",0,IF(IFERROR(VLOOKUP($C650,Setup!$A$2:$B$60,2,FALSE),"N")="Y",N($D650),0))</f>
      </c>
      <c r="J650" s="37">
        <f>IF($H650&gt;0,$I650/$H650,"")</f>
      </c>
    </row>
    <row r="651" spans="1:10" x14ac:dyDescent="0.25">
      <c r="A651" s="26">
        <v>46325</v>
      </c>
      <c r="B651" s="27" t="s">
        <v>36</v>
      </c>
      <c r="C651" s="28"/>
      <c r="D651" s="29"/>
      <c r="E651" s="29"/>
      <c r="F651" s="30">
        <f>IF($C651="","",IF($E651="",30,$E651)/60)</f>
      </c>
      <c r="G651" s="30">
        <f>IF($C651="","",(30-IF($E651="",30,$E651))/60)</f>
      </c>
      <c r="H651" s="30">
        <f>IF($C651="",0,IF(IFERROR(VLOOKUP($C651,Setup!$A$2:$B$60,2,FALSE),"N")="Y",$F651,0))</f>
      </c>
      <c r="I651" s="31">
        <f>IF($C651="",0,IF(IFERROR(VLOOKUP($C651,Setup!$A$2:$B$60,2,FALSE),"N")="Y",N($D651),0))</f>
      </c>
      <c r="J651" s="30">
        <f>IF($H651&gt;0,$I651/$H651,"")</f>
      </c>
    </row>
    <row r="652" spans="1:10" x14ac:dyDescent="0.25">
      <c r="A652" s="33">
        <v>46325</v>
      </c>
      <c r="B652" s="34" t="s">
        <v>37</v>
      </c>
      <c r="C652" s="35"/>
      <c r="D652" s="36"/>
      <c r="E652" s="36"/>
      <c r="F652" s="37">
        <f>IF($C652="","",IF($E652="",30,$E652)/60)</f>
      </c>
      <c r="G652" s="37">
        <f>IF($C652="","",(30-IF($E652="",30,$E652))/60)</f>
      </c>
      <c r="H652" s="37">
        <f>IF($C652="",0,IF(IFERROR(VLOOKUP($C652,Setup!$A$2:$B$60,2,FALSE),"N")="Y",$F652,0))</f>
      </c>
      <c r="I652" s="38">
        <f>IF($C652="",0,IF(IFERROR(VLOOKUP($C652,Setup!$A$2:$B$60,2,FALSE),"N")="Y",N($D652),0))</f>
      </c>
      <c r="J652" s="37">
        <f>IF($H652&gt;0,$I652/$H652,"")</f>
      </c>
    </row>
    <row r="653" spans="1:10" x14ac:dyDescent="0.25">
      <c r="A653" s="26">
        <v>46325</v>
      </c>
      <c r="B653" s="27" t="s">
        <v>38</v>
      </c>
      <c r="C653" s="28"/>
      <c r="D653" s="29"/>
      <c r="E653" s="29"/>
      <c r="F653" s="30">
        <f>IF($C653="","",IF($E653="",30,$E653)/60)</f>
      </c>
      <c r="G653" s="30">
        <f>IF($C653="","",(30-IF($E653="",30,$E653))/60)</f>
      </c>
      <c r="H653" s="30">
        <f>IF($C653="",0,IF(IFERROR(VLOOKUP($C653,Setup!$A$2:$B$60,2,FALSE),"N")="Y",$F653,0))</f>
      </c>
      <c r="I653" s="31">
        <f>IF($C653="",0,IF(IFERROR(VLOOKUP($C653,Setup!$A$2:$B$60,2,FALSE),"N")="Y",N($D653),0))</f>
      </c>
      <c r="J653" s="30">
        <f>IF($H653&gt;0,$I653/$H653,"")</f>
      </c>
    </row>
    <row r="654" spans="1:10" x14ac:dyDescent="0.25">
      <c r="A654" s="33">
        <v>46325</v>
      </c>
      <c r="B654" s="34" t="s">
        <v>39</v>
      </c>
      <c r="C654" s="35"/>
      <c r="D654" s="36"/>
      <c r="E654" s="36"/>
      <c r="F654" s="37">
        <f>IF($C654="","",IF($E654="",30,$E654)/60)</f>
      </c>
      <c r="G654" s="37">
        <f>IF($C654="","",(30-IF($E654="",30,$E654))/60)</f>
      </c>
      <c r="H654" s="37">
        <f>IF($C654="",0,IF(IFERROR(VLOOKUP($C654,Setup!$A$2:$B$60,2,FALSE),"N")="Y",$F654,0))</f>
      </c>
      <c r="I654" s="38">
        <f>IF($C654="",0,IF(IFERROR(VLOOKUP($C654,Setup!$A$2:$B$60,2,FALSE),"N")="Y",N($D654),0))</f>
      </c>
      <c r="J654" s="37">
        <f>IF($H654&gt;0,$I654/$H654,"")</f>
      </c>
    </row>
    <row r="655" spans="1:10" x14ac:dyDescent="0.25">
      <c r="A655" s="26">
        <v>46325</v>
      </c>
      <c r="B655" s="27" t="s">
        <v>40</v>
      </c>
      <c r="C655" s="28"/>
      <c r="D655" s="29"/>
      <c r="E655" s="29"/>
      <c r="F655" s="30">
        <f>IF($C655="","",IF($E655="",30,$E655)/60)</f>
      </c>
      <c r="G655" s="30">
        <f>IF($C655="","",(30-IF($E655="",30,$E655))/60)</f>
      </c>
      <c r="H655" s="30">
        <f>IF($C655="",0,IF(IFERROR(VLOOKUP($C655,Setup!$A$2:$B$60,2,FALSE),"N")="Y",$F655,0))</f>
      </c>
      <c r="I655" s="31">
        <f>IF($C655="",0,IF(IFERROR(VLOOKUP($C655,Setup!$A$2:$B$60,2,FALSE),"N")="Y",N($D655),0))</f>
      </c>
      <c r="J655" s="30">
        <f>IF($H655&gt;0,$I655/$H655,"")</f>
      </c>
    </row>
    <row r="656" spans="1:10" x14ac:dyDescent="0.25">
      <c r="A656" s="33">
        <v>46325</v>
      </c>
      <c r="B656" s="34" t="s">
        <v>41</v>
      </c>
      <c r="C656" s="35"/>
      <c r="D656" s="36"/>
      <c r="E656" s="36"/>
      <c r="F656" s="37">
        <f>IF($C656="","",IF($E656="",30,$E656)/60)</f>
      </c>
      <c r="G656" s="37">
        <f>IF($C656="","",(30-IF($E656="",30,$E656))/60)</f>
      </c>
      <c r="H656" s="37">
        <f>IF($C656="",0,IF(IFERROR(VLOOKUP($C656,Setup!$A$2:$B$60,2,FALSE),"N")="Y",$F656,0))</f>
      </c>
      <c r="I656" s="38">
        <f>IF($C656="",0,IF(IFERROR(VLOOKUP($C656,Setup!$A$2:$B$60,2,FALSE),"N")="Y",N($D656),0))</f>
      </c>
      <c r="J656" s="37">
        <f>IF($H656&gt;0,$I656/$H656,"")</f>
      </c>
    </row>
    <row r="657" spans="1:10" x14ac:dyDescent="0.25">
      <c r="A657" s="26">
        <v>46325</v>
      </c>
      <c r="B657" s="27" t="s">
        <v>42</v>
      </c>
      <c r="C657" s="28"/>
      <c r="D657" s="29"/>
      <c r="E657" s="29"/>
      <c r="F657" s="30">
        <f>IF($C657="","",IF($E657="",30,$E657)/60)</f>
      </c>
      <c r="G657" s="30">
        <f>IF($C657="","",(30-IF($E657="",30,$E657))/60)</f>
      </c>
      <c r="H657" s="30">
        <f>IF($C657="",0,IF(IFERROR(VLOOKUP($C657,Setup!$A$2:$B$60,2,FALSE),"N")="Y",$F657,0))</f>
      </c>
      <c r="I657" s="31">
        <f>IF($C657="",0,IF(IFERROR(VLOOKUP($C657,Setup!$A$2:$B$60,2,FALSE),"N")="Y",N($D657),0))</f>
      </c>
      <c r="J657" s="30">
        <f>IF($H657&gt;0,$I657/$H657,"")</f>
      </c>
    </row>
    <row r="658" spans="1:10" x14ac:dyDescent="0.25">
      <c r="A658" s="33">
        <v>46325</v>
      </c>
      <c r="B658" s="34" t="s">
        <v>43</v>
      </c>
      <c r="C658" s="35"/>
      <c r="D658" s="36"/>
      <c r="E658" s="36"/>
      <c r="F658" s="37">
        <f>IF($C658="","",IF($E658="",30,$E658)/60)</f>
      </c>
      <c r="G658" s="37">
        <f>IF($C658="","",(30-IF($E658="",30,$E658))/60)</f>
      </c>
      <c r="H658" s="37">
        <f>IF($C658="",0,IF(IFERROR(VLOOKUP($C658,Setup!$A$2:$B$60,2,FALSE),"N")="Y",$F658,0))</f>
      </c>
      <c r="I658" s="38">
        <f>IF($C658="",0,IF(IFERROR(VLOOKUP($C658,Setup!$A$2:$B$60,2,FALSE),"N")="Y",N($D658),0))</f>
      </c>
      <c r="J658" s="37">
        <f>IF($H658&gt;0,$I658/$H658,"")</f>
      </c>
    </row>
    <row r="659" spans="2:10" x14ac:dyDescent="0.25">
      <c r="B659" s="39" t="s">
        <v>44</v>
      </c>
      <c r="C659" s="40"/>
      <c r="D659" s="41">
        <f>SUM(I641:I658)</f>
      </c>
      <c r="E659" s="40"/>
      <c r="F659" s="42">
        <f>SUM(F641:F658)</f>
      </c>
      <c r="G659" s="42">
        <f>SUM(G641:G658)</f>
      </c>
      <c r="H659" s="42">
        <f>SUM(H641:H658)</f>
      </c>
      <c r="I659" s="40"/>
      <c r="J659" s="42">
        <f>IF(H659&gt;0,D659/H659,"")</f>
      </c>
    </row>
    <row r="661" ht="26" customHeight="1" spans="2:10" x14ac:dyDescent="0.25">
      <c r="B661" s="21">
        <v>46326</v>
      </c>
      <c r="C661" s="21"/>
      <c r="D661" s="21"/>
      <c r="E661" s="22" t="s">
        <v>21</v>
      </c>
      <c r="F661" s="22"/>
      <c r="G661" s="22"/>
      <c r="H661" s="22"/>
      <c r="I661" s="22"/>
      <c r="J661" s="22"/>
    </row>
    <row r="662" ht="18" customHeight="1" spans="2:10" x14ac:dyDescent="0.25">
      <c r="B662" s="23" t="s">
        <v>22</v>
      </c>
      <c r="C662" s="23" t="s">
        <v>19</v>
      </c>
      <c r="D662" s="24" t="s">
        <v>4</v>
      </c>
      <c r="E662" s="24" t="s">
        <v>23</v>
      </c>
      <c r="F662" s="25" t="s">
        <v>13</v>
      </c>
      <c r="G662" s="25" t="s">
        <v>24</v>
      </c>
      <c r="H662" s="25" t="s">
        <v>25</v>
      </c>
      <c r="I662" s="25" t="s">
        <v>4</v>
      </c>
      <c r="J662" s="25" t="s">
        <v>14</v>
      </c>
    </row>
    <row r="663" spans="1:11" x14ac:dyDescent="0.25">
      <c r="A663" s="26">
        <v>46326</v>
      </c>
      <c r="B663" s="27" t="s">
        <v>26</v>
      </c>
      <c r="C663" s="28"/>
      <c r="D663" s="29"/>
      <c r="E663" s="29"/>
      <c r="F663" s="30">
        <f>IF($C663="","",IF($E663="",30,$E663)/60)</f>
      </c>
      <c r="G663" s="30">
        <f>IF($C663="","",(30-IF($E663="",30,$E663))/60)</f>
      </c>
      <c r="H663" s="30">
        <f>IF($C663="",0,IF(IFERROR(VLOOKUP($C663,Setup!$A$2:$B$60,2,FALSE),"N")="Y",$F663,0))</f>
      </c>
      <c r="I663" s="31">
        <f>IF($C663="",0,IF(IFERROR(VLOOKUP($C663,Setup!$A$2:$B$60,2,FALSE),"N")="Y",N($D663),0))</f>
      </c>
      <c r="J663" s="30">
        <f>IF($H663&gt;0,$I663/$H663,"")</f>
      </c>
      <c r="K663" s="32">
        <f>IF($F681&gt;0,9,0)</f>
      </c>
    </row>
    <row r="664" spans="1:10" x14ac:dyDescent="0.25">
      <c r="A664" s="33">
        <v>46326</v>
      </c>
      <c r="B664" s="34" t="s">
        <v>27</v>
      </c>
      <c r="C664" s="35"/>
      <c r="D664" s="36"/>
      <c r="E664" s="36"/>
      <c r="F664" s="37">
        <f>IF($C664="","",IF($E664="",30,$E664)/60)</f>
      </c>
      <c r="G664" s="37">
        <f>IF($C664="","",(30-IF($E664="",30,$E664))/60)</f>
      </c>
      <c r="H664" s="37">
        <f>IF($C664="",0,IF(IFERROR(VLOOKUP($C664,Setup!$A$2:$B$60,2,FALSE),"N")="Y",$F664,0))</f>
      </c>
      <c r="I664" s="38">
        <f>IF($C664="",0,IF(IFERROR(VLOOKUP($C664,Setup!$A$2:$B$60,2,FALSE),"N")="Y",N($D664),0))</f>
      </c>
      <c r="J664" s="37">
        <f>IF($H664&gt;0,$I664/$H664,"")</f>
      </c>
    </row>
    <row r="665" spans="1:10" x14ac:dyDescent="0.25">
      <c r="A665" s="26">
        <v>46326</v>
      </c>
      <c r="B665" s="27" t="s">
        <v>28</v>
      </c>
      <c r="C665" s="28"/>
      <c r="D665" s="29"/>
      <c r="E665" s="29"/>
      <c r="F665" s="30">
        <f>IF($C665="","",IF($E665="",30,$E665)/60)</f>
      </c>
      <c r="G665" s="30">
        <f>IF($C665="","",(30-IF($E665="",30,$E665))/60)</f>
      </c>
      <c r="H665" s="30">
        <f>IF($C665="",0,IF(IFERROR(VLOOKUP($C665,Setup!$A$2:$B$60,2,FALSE),"N")="Y",$F665,0))</f>
      </c>
      <c r="I665" s="31">
        <f>IF($C665="",0,IF(IFERROR(VLOOKUP($C665,Setup!$A$2:$B$60,2,FALSE),"N")="Y",N($D665),0))</f>
      </c>
      <c r="J665" s="30">
        <f>IF($H665&gt;0,$I665/$H665,"")</f>
      </c>
    </row>
    <row r="666" spans="1:10" x14ac:dyDescent="0.25">
      <c r="A666" s="33">
        <v>46326</v>
      </c>
      <c r="B666" s="34" t="s">
        <v>29</v>
      </c>
      <c r="C666" s="35"/>
      <c r="D666" s="36"/>
      <c r="E666" s="36"/>
      <c r="F666" s="37">
        <f>IF($C666="","",IF($E666="",30,$E666)/60)</f>
      </c>
      <c r="G666" s="37">
        <f>IF($C666="","",(30-IF($E666="",30,$E666))/60)</f>
      </c>
      <c r="H666" s="37">
        <f>IF($C666="",0,IF(IFERROR(VLOOKUP($C666,Setup!$A$2:$B$60,2,FALSE),"N")="Y",$F666,0))</f>
      </c>
      <c r="I666" s="38">
        <f>IF($C666="",0,IF(IFERROR(VLOOKUP($C666,Setup!$A$2:$B$60,2,FALSE),"N")="Y",N($D666),0))</f>
      </c>
      <c r="J666" s="37">
        <f>IF($H666&gt;0,$I666/$H666,"")</f>
      </c>
    </row>
    <row r="667" spans="1:10" x14ac:dyDescent="0.25">
      <c r="A667" s="26">
        <v>46326</v>
      </c>
      <c r="B667" s="27" t="s">
        <v>30</v>
      </c>
      <c r="C667" s="28"/>
      <c r="D667" s="29"/>
      <c r="E667" s="29"/>
      <c r="F667" s="30">
        <f>IF($C667="","",IF($E667="",30,$E667)/60)</f>
      </c>
      <c r="G667" s="30">
        <f>IF($C667="","",(30-IF($E667="",30,$E667))/60)</f>
      </c>
      <c r="H667" s="30">
        <f>IF($C667="",0,IF(IFERROR(VLOOKUP($C667,Setup!$A$2:$B$60,2,FALSE),"N")="Y",$F667,0))</f>
      </c>
      <c r="I667" s="31">
        <f>IF($C667="",0,IF(IFERROR(VLOOKUP($C667,Setup!$A$2:$B$60,2,FALSE),"N")="Y",N($D667),0))</f>
      </c>
      <c r="J667" s="30">
        <f>IF($H667&gt;0,$I667/$H667,"")</f>
      </c>
    </row>
    <row r="668" spans="1:10" x14ac:dyDescent="0.25">
      <c r="A668" s="33">
        <v>46326</v>
      </c>
      <c r="B668" s="34" t="s">
        <v>31</v>
      </c>
      <c r="C668" s="35"/>
      <c r="D668" s="36"/>
      <c r="E668" s="36"/>
      <c r="F668" s="37">
        <f>IF($C668="","",IF($E668="",30,$E668)/60)</f>
      </c>
      <c r="G668" s="37">
        <f>IF($C668="","",(30-IF($E668="",30,$E668))/60)</f>
      </c>
      <c r="H668" s="37">
        <f>IF($C668="",0,IF(IFERROR(VLOOKUP($C668,Setup!$A$2:$B$60,2,FALSE),"N")="Y",$F668,0))</f>
      </c>
      <c r="I668" s="38">
        <f>IF($C668="",0,IF(IFERROR(VLOOKUP($C668,Setup!$A$2:$B$60,2,FALSE),"N")="Y",N($D668),0))</f>
      </c>
      <c r="J668" s="37">
        <f>IF($H668&gt;0,$I668/$H668,"")</f>
      </c>
    </row>
    <row r="669" spans="1:10" x14ac:dyDescent="0.25">
      <c r="A669" s="26">
        <v>46326</v>
      </c>
      <c r="B669" s="27" t="s">
        <v>32</v>
      </c>
      <c r="C669" s="28"/>
      <c r="D669" s="29"/>
      <c r="E669" s="29"/>
      <c r="F669" s="30">
        <f>IF($C669="","",IF($E669="",30,$E669)/60)</f>
      </c>
      <c r="G669" s="30">
        <f>IF($C669="","",(30-IF($E669="",30,$E669))/60)</f>
      </c>
      <c r="H669" s="30">
        <f>IF($C669="",0,IF(IFERROR(VLOOKUP($C669,Setup!$A$2:$B$60,2,FALSE),"N")="Y",$F669,0))</f>
      </c>
      <c r="I669" s="31">
        <f>IF($C669="",0,IF(IFERROR(VLOOKUP($C669,Setup!$A$2:$B$60,2,FALSE),"N")="Y",N($D669),0))</f>
      </c>
      <c r="J669" s="30">
        <f>IF($H669&gt;0,$I669/$H669,"")</f>
      </c>
    </row>
    <row r="670" spans="1:10" x14ac:dyDescent="0.25">
      <c r="A670" s="33">
        <v>46326</v>
      </c>
      <c r="B670" s="34" t="s">
        <v>33</v>
      </c>
      <c r="C670" s="35"/>
      <c r="D670" s="36"/>
      <c r="E670" s="36"/>
      <c r="F670" s="37">
        <f>IF($C670="","",IF($E670="",30,$E670)/60)</f>
      </c>
      <c r="G670" s="37">
        <f>IF($C670="","",(30-IF($E670="",30,$E670))/60)</f>
      </c>
      <c r="H670" s="37">
        <f>IF($C670="",0,IF(IFERROR(VLOOKUP($C670,Setup!$A$2:$B$60,2,FALSE),"N")="Y",$F670,0))</f>
      </c>
      <c r="I670" s="38">
        <f>IF($C670="",0,IF(IFERROR(VLOOKUP($C670,Setup!$A$2:$B$60,2,FALSE),"N")="Y",N($D670),0))</f>
      </c>
      <c r="J670" s="37">
        <f>IF($H670&gt;0,$I670/$H670,"")</f>
      </c>
    </row>
    <row r="671" spans="1:10" x14ac:dyDescent="0.25">
      <c r="A671" s="26">
        <v>46326</v>
      </c>
      <c r="B671" s="27" t="s">
        <v>34</v>
      </c>
      <c r="C671" s="28"/>
      <c r="D671" s="29"/>
      <c r="E671" s="29"/>
      <c r="F671" s="30">
        <f>IF($C671="","",IF($E671="",30,$E671)/60)</f>
      </c>
      <c r="G671" s="30">
        <f>IF($C671="","",(30-IF($E671="",30,$E671))/60)</f>
      </c>
      <c r="H671" s="30">
        <f>IF($C671="",0,IF(IFERROR(VLOOKUP($C671,Setup!$A$2:$B$60,2,FALSE),"N")="Y",$F671,0))</f>
      </c>
      <c r="I671" s="31">
        <f>IF($C671="",0,IF(IFERROR(VLOOKUP($C671,Setup!$A$2:$B$60,2,FALSE),"N")="Y",N($D671),0))</f>
      </c>
      <c r="J671" s="30">
        <f>IF($H671&gt;0,$I671/$H671,"")</f>
      </c>
    </row>
    <row r="672" spans="1:10" x14ac:dyDescent="0.25">
      <c r="A672" s="33">
        <v>46326</v>
      </c>
      <c r="B672" s="34" t="s">
        <v>35</v>
      </c>
      <c r="C672" s="35"/>
      <c r="D672" s="36"/>
      <c r="E672" s="36"/>
      <c r="F672" s="37">
        <f>IF($C672="","",IF($E672="",30,$E672)/60)</f>
      </c>
      <c r="G672" s="37">
        <f>IF($C672="","",(30-IF($E672="",30,$E672))/60)</f>
      </c>
      <c r="H672" s="37">
        <f>IF($C672="",0,IF(IFERROR(VLOOKUP($C672,Setup!$A$2:$B$60,2,FALSE),"N")="Y",$F672,0))</f>
      </c>
      <c r="I672" s="38">
        <f>IF($C672="",0,IF(IFERROR(VLOOKUP($C672,Setup!$A$2:$B$60,2,FALSE),"N")="Y",N($D672),0))</f>
      </c>
      <c r="J672" s="37">
        <f>IF($H672&gt;0,$I672/$H672,"")</f>
      </c>
    </row>
    <row r="673" spans="1:10" x14ac:dyDescent="0.25">
      <c r="A673" s="26">
        <v>46326</v>
      </c>
      <c r="B673" s="27" t="s">
        <v>36</v>
      </c>
      <c r="C673" s="28"/>
      <c r="D673" s="29"/>
      <c r="E673" s="29"/>
      <c r="F673" s="30">
        <f>IF($C673="","",IF($E673="",30,$E673)/60)</f>
      </c>
      <c r="G673" s="30">
        <f>IF($C673="","",(30-IF($E673="",30,$E673))/60)</f>
      </c>
      <c r="H673" s="30">
        <f>IF($C673="",0,IF(IFERROR(VLOOKUP($C673,Setup!$A$2:$B$60,2,FALSE),"N")="Y",$F673,0))</f>
      </c>
      <c r="I673" s="31">
        <f>IF($C673="",0,IF(IFERROR(VLOOKUP($C673,Setup!$A$2:$B$60,2,FALSE),"N")="Y",N($D673),0))</f>
      </c>
      <c r="J673" s="30">
        <f>IF($H673&gt;0,$I673/$H673,"")</f>
      </c>
    </row>
    <row r="674" spans="1:10" x14ac:dyDescent="0.25">
      <c r="A674" s="33">
        <v>46326</v>
      </c>
      <c r="B674" s="34" t="s">
        <v>37</v>
      </c>
      <c r="C674" s="35"/>
      <c r="D674" s="36"/>
      <c r="E674" s="36"/>
      <c r="F674" s="37">
        <f>IF($C674="","",IF($E674="",30,$E674)/60)</f>
      </c>
      <c r="G674" s="37">
        <f>IF($C674="","",(30-IF($E674="",30,$E674))/60)</f>
      </c>
      <c r="H674" s="37">
        <f>IF($C674="",0,IF(IFERROR(VLOOKUP($C674,Setup!$A$2:$B$60,2,FALSE),"N")="Y",$F674,0))</f>
      </c>
      <c r="I674" s="38">
        <f>IF($C674="",0,IF(IFERROR(VLOOKUP($C674,Setup!$A$2:$B$60,2,FALSE),"N")="Y",N($D674),0))</f>
      </c>
      <c r="J674" s="37">
        <f>IF($H674&gt;0,$I674/$H674,"")</f>
      </c>
    </row>
    <row r="675" spans="1:10" x14ac:dyDescent="0.25">
      <c r="A675" s="26">
        <v>46326</v>
      </c>
      <c r="B675" s="27" t="s">
        <v>38</v>
      </c>
      <c r="C675" s="28"/>
      <c r="D675" s="29"/>
      <c r="E675" s="29"/>
      <c r="F675" s="30">
        <f>IF($C675="","",IF($E675="",30,$E675)/60)</f>
      </c>
      <c r="G675" s="30">
        <f>IF($C675="","",(30-IF($E675="",30,$E675))/60)</f>
      </c>
      <c r="H675" s="30">
        <f>IF($C675="",0,IF(IFERROR(VLOOKUP($C675,Setup!$A$2:$B$60,2,FALSE),"N")="Y",$F675,0))</f>
      </c>
      <c r="I675" s="31">
        <f>IF($C675="",0,IF(IFERROR(VLOOKUP($C675,Setup!$A$2:$B$60,2,FALSE),"N")="Y",N($D675),0))</f>
      </c>
      <c r="J675" s="30">
        <f>IF($H675&gt;0,$I675/$H675,"")</f>
      </c>
    </row>
    <row r="676" spans="1:10" x14ac:dyDescent="0.25">
      <c r="A676" s="33">
        <v>46326</v>
      </c>
      <c r="B676" s="34" t="s">
        <v>39</v>
      </c>
      <c r="C676" s="35"/>
      <c r="D676" s="36"/>
      <c r="E676" s="36"/>
      <c r="F676" s="37">
        <f>IF($C676="","",IF($E676="",30,$E676)/60)</f>
      </c>
      <c r="G676" s="37">
        <f>IF($C676="","",(30-IF($E676="",30,$E676))/60)</f>
      </c>
      <c r="H676" s="37">
        <f>IF($C676="",0,IF(IFERROR(VLOOKUP($C676,Setup!$A$2:$B$60,2,FALSE),"N")="Y",$F676,0))</f>
      </c>
      <c r="I676" s="38">
        <f>IF($C676="",0,IF(IFERROR(VLOOKUP($C676,Setup!$A$2:$B$60,2,FALSE),"N")="Y",N($D676),0))</f>
      </c>
      <c r="J676" s="37">
        <f>IF($H676&gt;0,$I676/$H676,"")</f>
      </c>
    </row>
    <row r="677" spans="1:10" x14ac:dyDescent="0.25">
      <c r="A677" s="26">
        <v>46326</v>
      </c>
      <c r="B677" s="27" t="s">
        <v>40</v>
      </c>
      <c r="C677" s="28"/>
      <c r="D677" s="29"/>
      <c r="E677" s="29"/>
      <c r="F677" s="30">
        <f>IF($C677="","",IF($E677="",30,$E677)/60)</f>
      </c>
      <c r="G677" s="30">
        <f>IF($C677="","",(30-IF($E677="",30,$E677))/60)</f>
      </c>
      <c r="H677" s="30">
        <f>IF($C677="",0,IF(IFERROR(VLOOKUP($C677,Setup!$A$2:$B$60,2,FALSE),"N")="Y",$F677,0))</f>
      </c>
      <c r="I677" s="31">
        <f>IF($C677="",0,IF(IFERROR(VLOOKUP($C677,Setup!$A$2:$B$60,2,FALSE),"N")="Y",N($D677),0))</f>
      </c>
      <c r="J677" s="30">
        <f>IF($H677&gt;0,$I677/$H677,"")</f>
      </c>
    </row>
    <row r="678" spans="1:10" x14ac:dyDescent="0.25">
      <c r="A678" s="33">
        <v>46326</v>
      </c>
      <c r="B678" s="34" t="s">
        <v>41</v>
      </c>
      <c r="C678" s="35"/>
      <c r="D678" s="36"/>
      <c r="E678" s="36"/>
      <c r="F678" s="37">
        <f>IF($C678="","",IF($E678="",30,$E678)/60)</f>
      </c>
      <c r="G678" s="37">
        <f>IF($C678="","",(30-IF($E678="",30,$E678))/60)</f>
      </c>
      <c r="H678" s="37">
        <f>IF($C678="",0,IF(IFERROR(VLOOKUP($C678,Setup!$A$2:$B$60,2,FALSE),"N")="Y",$F678,0))</f>
      </c>
      <c r="I678" s="38">
        <f>IF($C678="",0,IF(IFERROR(VLOOKUP($C678,Setup!$A$2:$B$60,2,FALSE),"N")="Y",N($D678),0))</f>
      </c>
      <c r="J678" s="37">
        <f>IF($H678&gt;0,$I678/$H678,"")</f>
      </c>
    </row>
    <row r="679" spans="1:10" x14ac:dyDescent="0.25">
      <c r="A679" s="26">
        <v>46326</v>
      </c>
      <c r="B679" s="27" t="s">
        <v>42</v>
      </c>
      <c r="C679" s="28"/>
      <c r="D679" s="29"/>
      <c r="E679" s="29"/>
      <c r="F679" s="30">
        <f>IF($C679="","",IF($E679="",30,$E679)/60)</f>
      </c>
      <c r="G679" s="30">
        <f>IF($C679="","",(30-IF($E679="",30,$E679))/60)</f>
      </c>
      <c r="H679" s="30">
        <f>IF($C679="",0,IF(IFERROR(VLOOKUP($C679,Setup!$A$2:$B$60,2,FALSE),"N")="Y",$F679,0))</f>
      </c>
      <c r="I679" s="31">
        <f>IF($C679="",0,IF(IFERROR(VLOOKUP($C679,Setup!$A$2:$B$60,2,FALSE),"N")="Y",N($D679),0))</f>
      </c>
      <c r="J679" s="30">
        <f>IF($H679&gt;0,$I679/$H679,"")</f>
      </c>
    </row>
    <row r="680" spans="1:10" x14ac:dyDescent="0.25">
      <c r="A680" s="33">
        <v>46326</v>
      </c>
      <c r="B680" s="34" t="s">
        <v>43</v>
      </c>
      <c r="C680" s="35"/>
      <c r="D680" s="36"/>
      <c r="E680" s="36"/>
      <c r="F680" s="37">
        <f>IF($C680="","",IF($E680="",30,$E680)/60)</f>
      </c>
      <c r="G680" s="37">
        <f>IF($C680="","",(30-IF($E680="",30,$E680))/60)</f>
      </c>
      <c r="H680" s="37">
        <f>IF($C680="",0,IF(IFERROR(VLOOKUP($C680,Setup!$A$2:$B$60,2,FALSE),"N")="Y",$F680,0))</f>
      </c>
      <c r="I680" s="38">
        <f>IF($C680="",0,IF(IFERROR(VLOOKUP($C680,Setup!$A$2:$B$60,2,FALSE),"N")="Y",N($D680),0))</f>
      </c>
      <c r="J680" s="37">
        <f>IF($H680&gt;0,$I680/$H680,"")</f>
      </c>
    </row>
    <row r="681" spans="2:10" x14ac:dyDescent="0.25">
      <c r="B681" s="39" t="s">
        <v>44</v>
      </c>
      <c r="C681" s="40"/>
      <c r="D681" s="41">
        <f>SUM(I663:I680)</f>
      </c>
      <c r="E681" s="40"/>
      <c r="F681" s="42">
        <f>SUM(F663:F680)</f>
      </c>
      <c r="G681" s="42">
        <f>SUM(G663:G680)</f>
      </c>
      <c r="H681" s="42">
        <f>SUM(H663:H680)</f>
      </c>
      <c r="I681" s="40"/>
      <c r="J681" s="42">
        <f>IF(H681&gt;0,D681/H681,"")</f>
      </c>
    </row>
  </sheetData>
  <mergeCells count="62">
    <mergeCell ref="B1:D1"/>
    <mergeCell ref="E1:J1"/>
    <mergeCell ref="B23:D23"/>
    <mergeCell ref="E23:J23"/>
    <mergeCell ref="B45:D45"/>
    <mergeCell ref="E45:J45"/>
    <mergeCell ref="B67:D67"/>
    <mergeCell ref="E67:J67"/>
    <mergeCell ref="B89:D89"/>
    <mergeCell ref="E89:J89"/>
    <mergeCell ref="B111:D111"/>
    <mergeCell ref="E111:J111"/>
    <mergeCell ref="B133:D133"/>
    <mergeCell ref="E133:J133"/>
    <mergeCell ref="B155:D155"/>
    <mergeCell ref="E155:J155"/>
    <mergeCell ref="B177:D177"/>
    <mergeCell ref="E177:J177"/>
    <mergeCell ref="B199:D199"/>
    <mergeCell ref="E199:J199"/>
    <mergeCell ref="B221:D221"/>
    <mergeCell ref="E221:J221"/>
    <mergeCell ref="B243:D243"/>
    <mergeCell ref="E243:J243"/>
    <mergeCell ref="B265:D265"/>
    <mergeCell ref="E265:J265"/>
    <mergeCell ref="B287:D287"/>
    <mergeCell ref="E287:J287"/>
    <mergeCell ref="B309:D309"/>
    <mergeCell ref="E309:J309"/>
    <mergeCell ref="B331:D331"/>
    <mergeCell ref="E331:J331"/>
    <mergeCell ref="B353:D353"/>
    <mergeCell ref="E353:J353"/>
    <mergeCell ref="B375:D375"/>
    <mergeCell ref="E375:J375"/>
    <mergeCell ref="B397:D397"/>
    <mergeCell ref="E397:J397"/>
    <mergeCell ref="B419:D419"/>
    <mergeCell ref="E419:J419"/>
    <mergeCell ref="B441:D441"/>
    <mergeCell ref="E441:J441"/>
    <mergeCell ref="B463:D463"/>
    <mergeCell ref="E463:J463"/>
    <mergeCell ref="B485:D485"/>
    <mergeCell ref="E485:J485"/>
    <mergeCell ref="B507:D507"/>
    <mergeCell ref="E507:J507"/>
    <mergeCell ref="B529:D529"/>
    <mergeCell ref="E529:J529"/>
    <mergeCell ref="B551:D551"/>
    <mergeCell ref="E551:J551"/>
    <mergeCell ref="B573:D573"/>
    <mergeCell ref="E573:J573"/>
    <mergeCell ref="B595:D595"/>
    <mergeCell ref="E595:J595"/>
    <mergeCell ref="B617:D617"/>
    <mergeCell ref="E617:J617"/>
    <mergeCell ref="B639:D639"/>
    <mergeCell ref="E639:J639"/>
    <mergeCell ref="B661:D661"/>
    <mergeCell ref="E661:J661"/>
  </mergeCells>
  <conditionalFormatting sqref="D3:D20">
    <cfRule type="expression" dxfId="6" priority="10">
      <formula>$H3=0</formula>
    </cfRule>
  </conditionalFormatting>
  <conditionalFormatting sqref="D25:D42">
    <cfRule type="expression" dxfId="7" priority="11">
      <formula>$H25=0</formula>
    </cfRule>
  </conditionalFormatting>
  <conditionalFormatting sqref="D47:D64">
    <cfRule type="expression" dxfId="8" priority="12">
      <formula>$H47=0</formula>
    </cfRule>
  </conditionalFormatting>
  <conditionalFormatting sqref="D69:D86">
    <cfRule type="expression" dxfId="9" priority="13">
      <formula>$H69=0</formula>
    </cfRule>
  </conditionalFormatting>
  <conditionalFormatting sqref="D91:D108">
    <cfRule type="expression" dxfId="10" priority="14">
      <formula>$H91=0</formula>
    </cfRule>
  </conditionalFormatting>
  <conditionalFormatting sqref="D113:D130">
    <cfRule type="expression" dxfId="11" priority="15">
      <formula>$H113=0</formula>
    </cfRule>
  </conditionalFormatting>
  <conditionalFormatting sqref="D135:D152">
    <cfRule type="expression" dxfId="12" priority="16">
      <formula>$H135=0</formula>
    </cfRule>
  </conditionalFormatting>
  <conditionalFormatting sqref="D157:D174">
    <cfRule type="expression" dxfId="13" priority="17">
      <formula>$H157=0</formula>
    </cfRule>
  </conditionalFormatting>
  <conditionalFormatting sqref="D179:D196">
    <cfRule type="expression" dxfId="14" priority="18">
      <formula>$H179=0</formula>
    </cfRule>
  </conditionalFormatting>
  <conditionalFormatting sqref="D201:D218">
    <cfRule type="expression" dxfId="15" priority="19">
      <formula>$H201=0</formula>
    </cfRule>
  </conditionalFormatting>
  <conditionalFormatting sqref="D223:D240">
    <cfRule type="expression" dxfId="16" priority="20">
      <formula>$H223=0</formula>
    </cfRule>
  </conditionalFormatting>
  <conditionalFormatting sqref="D245:D262">
    <cfRule type="expression" dxfId="17" priority="21">
      <formula>$H245=0</formula>
    </cfRule>
  </conditionalFormatting>
  <conditionalFormatting sqref="D267:D284">
    <cfRule type="expression" dxfId="18" priority="22">
      <formula>$H267=0</formula>
    </cfRule>
  </conditionalFormatting>
  <conditionalFormatting sqref="D289:D306">
    <cfRule type="expression" dxfId="19" priority="23">
      <formula>$H289=0</formula>
    </cfRule>
  </conditionalFormatting>
  <conditionalFormatting sqref="D311:D328">
    <cfRule type="expression" dxfId="20" priority="24">
      <formula>$H311=0</formula>
    </cfRule>
  </conditionalFormatting>
  <conditionalFormatting sqref="D333:D350">
    <cfRule type="expression" dxfId="21" priority="25">
      <formula>$H333=0</formula>
    </cfRule>
  </conditionalFormatting>
  <conditionalFormatting sqref="D355:D372">
    <cfRule type="expression" dxfId="22" priority="26">
      <formula>$H355=0</formula>
    </cfRule>
  </conditionalFormatting>
  <conditionalFormatting sqref="D377:D394">
    <cfRule type="expression" dxfId="23" priority="27">
      <formula>$H377=0</formula>
    </cfRule>
  </conditionalFormatting>
  <conditionalFormatting sqref="D399:D416">
    <cfRule type="expression" dxfId="24" priority="28">
      <formula>$H399=0</formula>
    </cfRule>
  </conditionalFormatting>
  <conditionalFormatting sqref="D421:D438">
    <cfRule type="expression" dxfId="25" priority="29">
      <formula>$H421=0</formula>
    </cfRule>
  </conditionalFormatting>
  <conditionalFormatting sqref="D443:D460">
    <cfRule type="expression" dxfId="26" priority="30">
      <formula>$H443=0</formula>
    </cfRule>
  </conditionalFormatting>
  <conditionalFormatting sqref="D465:D482">
    <cfRule type="expression" dxfId="27" priority="31">
      <formula>$H465=0</formula>
    </cfRule>
  </conditionalFormatting>
  <conditionalFormatting sqref="D487:D504">
    <cfRule type="expression" dxfId="28" priority="32">
      <formula>$H487=0</formula>
    </cfRule>
  </conditionalFormatting>
  <conditionalFormatting sqref="D509:D526">
    <cfRule type="expression" dxfId="29" priority="33">
      <formula>$H509=0</formula>
    </cfRule>
  </conditionalFormatting>
  <conditionalFormatting sqref="D531:D548">
    <cfRule type="expression" dxfId="30" priority="34">
      <formula>$H531=0</formula>
    </cfRule>
  </conditionalFormatting>
  <conditionalFormatting sqref="D553:D570">
    <cfRule type="expression" dxfId="31" priority="35">
      <formula>$H553=0</formula>
    </cfRule>
  </conditionalFormatting>
  <conditionalFormatting sqref="D575:D592">
    <cfRule type="expression" dxfId="32" priority="36">
      <formula>$H575=0</formula>
    </cfRule>
  </conditionalFormatting>
  <conditionalFormatting sqref="D597:D614">
    <cfRule type="expression" dxfId="33" priority="37">
      <formula>$H597=0</formula>
    </cfRule>
  </conditionalFormatting>
  <conditionalFormatting sqref="D619:D636">
    <cfRule type="expression" dxfId="34" priority="38">
      <formula>$H619=0</formula>
    </cfRule>
  </conditionalFormatting>
  <conditionalFormatting sqref="D641:D658">
    <cfRule type="expression" dxfId="35" priority="39">
      <formula>$H641=0</formula>
    </cfRule>
  </conditionalFormatting>
  <conditionalFormatting sqref="D663:D680">
    <cfRule type="expression" dxfId="36" priority="40">
      <formula>$H663=0</formula>
    </cfRule>
  </conditionalFormatting>
  <dataValidations count="66">
    <dataValidation type="list" allowBlank="1" sqref="C10:C20">
      <formula1>Setup!$A$2:$A$9</formula1>
    </dataValidation>
    <dataValidation type="list" allowBlank="1" sqref="C100:C108">
      <formula1>Setup!$A$2:$A$9</formula1>
    </dataValidation>
    <dataValidation type="list" allowBlank="1" sqref="C113:C130">
      <formula1>Setup!$A$2:$A$9</formula1>
    </dataValidation>
    <dataValidation type="list" allowBlank="1" sqref="C135:C152">
      <formula1>Setup!$A$2:$A$9</formula1>
    </dataValidation>
    <dataValidation type="list" allowBlank="1" sqref="C157:C174">
      <formula1>Setup!$A$2:$A$9</formula1>
    </dataValidation>
    <dataValidation type="list" allowBlank="1" sqref="C179:C196">
      <formula1>Setup!$A$2:$A$9</formula1>
    </dataValidation>
    <dataValidation type="list" allowBlank="1" sqref="C201:C218">
      <formula1>Setup!$A$2:$A$9</formula1>
    </dataValidation>
    <dataValidation type="list" allowBlank="1" sqref="C223:C240">
      <formula1>Setup!$A$2:$A$9</formula1>
    </dataValidation>
    <dataValidation type="list" allowBlank="1" sqref="C245:C262">
      <formula1>Setup!$A$2:$A$9</formula1>
    </dataValidation>
    <dataValidation type="list" allowBlank="1" sqref="C25:C42">
      <formula1>Setup!$A$2:$A$9</formula1>
    </dataValidation>
    <dataValidation type="list" allowBlank="1" sqref="C267:C284">
      <formula1>Setup!$A$2:$A$9</formula1>
    </dataValidation>
    <dataValidation type="list" allowBlank="1" sqref="C289:C306">
      <formula1>Setup!$A$2:$A$9</formula1>
    </dataValidation>
    <dataValidation type="list" allowBlank="1" sqref="C3:C20">
      <formula1>Setup!$A$2:$A$9</formula1>
    </dataValidation>
    <dataValidation type="list" allowBlank="1" sqref="C311:C328">
      <formula1>Setup!$A$2:$A$9</formula1>
    </dataValidation>
    <dataValidation type="list" allowBlank="1" sqref="C333:C350">
      <formula1>Setup!$A$2:$A$9</formula1>
    </dataValidation>
    <dataValidation type="list" allowBlank="1" sqref="C355:C372">
      <formula1>Setup!$A$2:$A$9</formula1>
    </dataValidation>
    <dataValidation type="list" allowBlank="1" sqref="C377:C394">
      <formula1>Setup!$A$2:$A$9</formula1>
    </dataValidation>
    <dataValidation type="list" allowBlank="1" sqref="C399:C416">
      <formula1>Setup!$A$2:$A$9</formula1>
    </dataValidation>
    <dataValidation type="list" allowBlank="1" sqref="C421:C438">
      <formula1>Setup!$A$2:$A$9</formula1>
    </dataValidation>
    <dataValidation type="list" allowBlank="1" sqref="C443:C460">
      <formula1>Setup!$A$2:$A$9</formula1>
    </dataValidation>
    <dataValidation type="list" allowBlank="1" sqref="C465:C482">
      <formula1>Setup!$A$2:$A$9</formula1>
    </dataValidation>
    <dataValidation type="list" allowBlank="1" sqref="C47:C64">
      <formula1>Setup!$A$2:$A$9</formula1>
    </dataValidation>
    <dataValidation type="list" allowBlank="1" sqref="C487:C504">
      <formula1>Setup!$A$2:$A$9</formula1>
    </dataValidation>
    <dataValidation type="list" allowBlank="1" sqref="C509:C526">
      <formula1>Setup!$A$2:$A$9</formula1>
    </dataValidation>
    <dataValidation type="list" allowBlank="1" sqref="C531:C548">
      <formula1>Setup!$A$2:$A$9</formula1>
    </dataValidation>
    <dataValidation type="list" allowBlank="1" sqref="C553:C570">
      <formula1>Setup!$A$2:$A$9</formula1>
    </dataValidation>
    <dataValidation type="list" allowBlank="1" sqref="C575:C592">
      <formula1>Setup!$A$2:$A$9</formula1>
    </dataValidation>
    <dataValidation type="list" allowBlank="1" sqref="C597:C614">
      <formula1>Setup!$A$2:$A$9</formula1>
    </dataValidation>
    <dataValidation type="list" allowBlank="1" sqref="C619:C636">
      <formula1>Setup!$A$2:$A$9</formula1>
    </dataValidation>
    <dataValidation type="list" allowBlank="1" sqref="C641:C658">
      <formula1>Setup!$A$2:$A$9</formula1>
    </dataValidation>
    <dataValidation type="list" allowBlank="1" sqref="C663:C680">
      <formula1>Setup!$A$2:$A$9</formula1>
    </dataValidation>
    <dataValidation type="list" allowBlank="1" sqref="C69:C86">
      <formula1>Setup!$A$2:$A$9</formula1>
    </dataValidation>
    <dataValidation type="list" allowBlank="1" sqref="C91:C108">
      <formula1>Setup!$A$2:$A$9</formula1>
    </dataValidation>
    <dataValidation type="decimal" allowBlank="1" sqref="E10:E20">
      <formula1>0</formula1>
      <formula2>30</formula2>
    </dataValidation>
    <dataValidation type="decimal" allowBlank="1" sqref="E100:E108">
      <formula1>0</formula1>
      <formula2>30</formula2>
    </dataValidation>
    <dataValidation type="decimal" allowBlank="1" sqref="E113:E130">
      <formula1>0</formula1>
      <formula2>30</formula2>
    </dataValidation>
    <dataValidation type="decimal" allowBlank="1" sqref="E135:E152">
      <formula1>0</formula1>
      <formula2>30</formula2>
    </dataValidation>
    <dataValidation type="decimal" allowBlank="1" sqref="E157:E174">
      <formula1>0</formula1>
      <formula2>30</formula2>
    </dataValidation>
    <dataValidation type="decimal" allowBlank="1" sqref="E179:E196">
      <formula1>0</formula1>
      <formula2>30</formula2>
    </dataValidation>
    <dataValidation type="decimal" allowBlank="1" sqref="E201:E218">
      <formula1>0</formula1>
      <formula2>30</formula2>
    </dataValidation>
    <dataValidation type="decimal" allowBlank="1" sqref="E223:E240">
      <formula1>0</formula1>
      <formula2>30</formula2>
    </dataValidation>
    <dataValidation type="decimal" allowBlank="1" sqref="E245:E262">
      <formula1>0</formula1>
      <formula2>30</formula2>
    </dataValidation>
    <dataValidation type="decimal" allowBlank="1" sqref="E25:E42">
      <formula1>0</formula1>
      <formula2>30</formula2>
    </dataValidation>
    <dataValidation type="decimal" allowBlank="1" sqref="E267:E284">
      <formula1>0</formula1>
      <formula2>30</formula2>
    </dataValidation>
    <dataValidation type="decimal" allowBlank="1" sqref="E289:E306">
      <formula1>0</formula1>
      <formula2>30</formula2>
    </dataValidation>
    <dataValidation type="decimal" allowBlank="1" sqref="E3:E20">
      <formula1>0</formula1>
      <formula2>30</formula2>
    </dataValidation>
    <dataValidation type="decimal" allowBlank="1" sqref="E311:E328">
      <formula1>0</formula1>
      <formula2>30</formula2>
    </dataValidation>
    <dataValidation type="decimal" allowBlank="1" sqref="E333:E350">
      <formula1>0</formula1>
      <formula2>30</formula2>
    </dataValidation>
    <dataValidation type="decimal" allowBlank="1" sqref="E355:E372">
      <formula1>0</formula1>
      <formula2>30</formula2>
    </dataValidation>
    <dataValidation type="decimal" allowBlank="1" sqref="E377:E394">
      <formula1>0</formula1>
      <formula2>30</formula2>
    </dataValidation>
    <dataValidation type="decimal" allowBlank="1" sqref="E399:E416">
      <formula1>0</formula1>
      <formula2>30</formula2>
    </dataValidation>
    <dataValidation type="decimal" allowBlank="1" sqref="E421:E438">
      <formula1>0</formula1>
      <formula2>30</formula2>
    </dataValidation>
    <dataValidation type="decimal" allowBlank="1" sqref="E443:E460">
      <formula1>0</formula1>
      <formula2>30</formula2>
    </dataValidation>
    <dataValidation type="decimal" allowBlank="1" sqref="E465:E482">
      <formula1>0</formula1>
      <formula2>30</formula2>
    </dataValidation>
    <dataValidation type="decimal" allowBlank="1" sqref="E47:E64">
      <formula1>0</formula1>
      <formula2>30</formula2>
    </dataValidation>
    <dataValidation type="decimal" allowBlank="1" sqref="E487:E504">
      <formula1>0</formula1>
      <formula2>30</formula2>
    </dataValidation>
    <dataValidation type="decimal" allowBlank="1" sqref="E509:E526">
      <formula1>0</formula1>
      <formula2>30</formula2>
    </dataValidation>
    <dataValidation type="decimal" allowBlank="1" sqref="E531:E548">
      <formula1>0</formula1>
      <formula2>30</formula2>
    </dataValidation>
    <dataValidation type="decimal" allowBlank="1" sqref="E553:E570">
      <formula1>0</formula1>
      <formula2>30</formula2>
    </dataValidation>
    <dataValidation type="decimal" allowBlank="1" sqref="E575:E592">
      <formula1>0</formula1>
      <formula2>30</formula2>
    </dataValidation>
    <dataValidation type="decimal" allowBlank="1" sqref="E597:E614">
      <formula1>0</formula1>
      <formula2>30</formula2>
    </dataValidation>
    <dataValidation type="decimal" allowBlank="1" sqref="E619:E636">
      <formula1>0</formula1>
      <formula2>30</formula2>
    </dataValidation>
    <dataValidation type="decimal" allowBlank="1" sqref="E641:E658">
      <formula1>0</formula1>
      <formula2>30</formula2>
    </dataValidation>
    <dataValidation type="decimal" allowBlank="1" sqref="E663:E680">
      <formula1>0</formula1>
      <formula2>30</formula2>
    </dataValidation>
    <dataValidation type="decimal" allowBlank="1" sqref="E69:E86">
      <formula1>0</formula1>
      <formula2>30</formula2>
    </dataValidation>
    <dataValidation type="decimal" allowBlank="1" sqref="E91:E108">
      <formula1>0</formula1>
      <formula2>30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8181"/>
  </sheetPr>
  <dimension ref="A1:E9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style="1" customWidth="1"/>
    <col min="2" max="2" width="18" style="1" customWidth="1"/>
    <col min="3" max="3" width="13" style="1" customWidth="1"/>
    <col min="4" max="4" width="3" style="1" customWidth="1"/>
    <col min="5" max="5" width="95" style="1" customWidth="1"/>
    <col min="6" max="6" width="9" style="1" customWidth="1"/>
    <col min="7" max="7" width="9" style="1" customWidth="1"/>
    <col min="8" max="8" width="9" style="1" customWidth="1"/>
    <col min="9" max="9" width="9" style="1" customWidth="1"/>
    <col min="10" max="10" width="9" style="1" customWidth="1"/>
    <col min="11" max="11" width="9" style="1" customWidth="1"/>
    <col min="12" max="12" width="9" style="1" customWidth="1"/>
  </cols>
  <sheetData>
    <row r="1" ht="30" customHeight="1" spans="1:5" x14ac:dyDescent="0.25">
      <c r="A1" s="43" t="s">
        <v>19</v>
      </c>
      <c r="B1" s="44" t="s">
        <v>47</v>
      </c>
      <c r="C1" s="44" t="s">
        <v>48</v>
      </c>
      <c r="E1" s="45" t="s">
        <v>49</v>
      </c>
    </row>
    <row r="2" spans="1:5" x14ac:dyDescent="0.25">
      <c r="A2" s="46" t="s">
        <v>45</v>
      </c>
      <c r="B2" s="47" t="s">
        <v>50</v>
      </c>
      <c r="C2" s="48">
        <v>200</v>
      </c>
      <c r="E2" s="49" t="s">
        <v>51</v>
      </c>
    </row>
    <row r="3" spans="1:5" x14ac:dyDescent="0.25">
      <c r="A3" s="50" t="s">
        <v>46</v>
      </c>
      <c r="B3" s="51" t="s">
        <v>50</v>
      </c>
      <c r="C3" s="52">
        <v>3000</v>
      </c>
      <c r="E3" s="49" t="s">
        <v>52</v>
      </c>
    </row>
    <row r="4" spans="1:5" x14ac:dyDescent="0.25">
      <c r="A4" s="46" t="s">
        <v>53</v>
      </c>
      <c r="B4" s="47" t="s">
        <v>54</v>
      </c>
      <c r="C4" s="48"/>
      <c r="E4" s="49" t="s">
        <v>55</v>
      </c>
    </row>
    <row r="5" spans="1:5" x14ac:dyDescent="0.25">
      <c r="A5" s="50" t="s">
        <v>56</v>
      </c>
      <c r="B5" s="51" t="s">
        <v>54</v>
      </c>
      <c r="C5" s="52"/>
      <c r="E5" s="49" t="s">
        <v>57</v>
      </c>
    </row>
    <row r="6" spans="1:5" x14ac:dyDescent="0.25">
      <c r="A6" s="46" t="s">
        <v>58</v>
      </c>
      <c r="B6" s="47" t="s">
        <v>54</v>
      </c>
      <c r="C6" s="48"/>
      <c r="E6" s="49" t="s">
        <v>59</v>
      </c>
    </row>
    <row r="7" spans="1:5" x14ac:dyDescent="0.25">
      <c r="A7" s="50"/>
      <c r="B7" s="51"/>
      <c r="C7" s="52"/>
      <c r="E7" s="49" t="s">
        <v>60</v>
      </c>
    </row>
    <row r="8" spans="1:3" x14ac:dyDescent="0.25">
      <c r="A8" s="46"/>
      <c r="B8" s="47"/>
      <c r="C8" s="48"/>
    </row>
    <row r="9" spans="1:3" x14ac:dyDescent="0.25">
      <c r="A9" s="50"/>
      <c r="B9" s="51"/>
      <c r="C9" s="52"/>
    </row>
  </sheetData>
  <dataValidations count="1">
    <dataValidation type="list" allowBlank="1" showErrorMessage="1" errorStyle="stop" errorTitle="Y or N" error="Pick Y (productive) or N." sqref="B2:B9">
      <formula1>"Y,N"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Daily</vt:lpstr>
      <vt:lpstr>Setup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shift.mk</dc:creator>
  <dc:title/>
  <dc:subject/>
  <dc:description/>
  <cp:keywords/>
  <cp:category/>
  <cp:lastModifiedBy>Unknown</cp:lastModifiedBy>
  <dcterms:created xsi:type="dcterms:W3CDTF">2026-10-28T15:16:17Z</dcterms:created>
  <dcterms:modified xsi:type="dcterms:W3CDTF">2026-10-28T15:16:17Z</dcterms:modified>
</cp:coreProperties>
</file>